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autoCompressPictures="0" defaultThemeVersion="124226"/>
  <bookViews>
    <workbookView xWindow="615" yWindow="225" windowWidth="22425" windowHeight="14745"/>
  </bookViews>
  <sheets>
    <sheet name="Unity Course Video Listing" sheetId="1" r:id="rId1"/>
    <sheet name="Orig Data" sheetId="4" state="hidden" r:id="rId2"/>
  </sheets>
  <definedNames>
    <definedName name="_xlnm.Print_Titles" localSheetId="0">'Unity Course Video Listing'!$3:$3</definedName>
  </definedNames>
  <calcPr calcId="1456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G4" i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5" i="1"/>
  <c r="J15" i="1" s="1"/>
  <c r="I14" i="1"/>
  <c r="J14" i="1" s="1"/>
  <c r="I13" i="1"/>
  <c r="J13" i="1"/>
  <c r="I12" i="1"/>
  <c r="J12" i="1" s="1"/>
  <c r="I11" i="1"/>
  <c r="J11" i="1" s="1"/>
  <c r="I10" i="1"/>
  <c r="J10" i="1" s="1"/>
  <c r="I9" i="1"/>
  <c r="J9" i="1" s="1"/>
  <c r="I8" i="1"/>
  <c r="J8" i="1" s="1"/>
  <c r="I6" i="1"/>
  <c r="J6" i="1" s="1"/>
  <c r="I5" i="1"/>
  <c r="J5" i="1" s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D136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F1" i="1" s="1"/>
  <c r="H1" i="1" s="1"/>
  <c r="G28" i="1"/>
  <c r="G35" i="1"/>
  <c r="G44" i="1"/>
  <c r="G54" i="1"/>
  <c r="G77" i="1"/>
  <c r="G102" i="1"/>
  <c r="G117" i="1"/>
  <c r="G1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 s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I43" i="1" l="1"/>
  <c r="J43" i="1" s="1"/>
  <c r="I16" i="1"/>
  <c r="J16" i="1" s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<sst xmlns="http://schemas.openxmlformats.org/spreadsheetml/2006/main" count="423" uniqueCount="248">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</sst>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J198"/>
  <sheetViews>
    <sheetView showGridLines="0" tabSelected="1" workbookViewId="0">
      <pane ySplit="3" topLeftCell="A22" activePane="bottomLeft" state="frozen"/>
      <selection pane="bottomLeft" activeCell="F34" sqref="F34"/>
    </sheetView>
  </sheetViews>
  <sheetFormatPr defaultColWidth="8.85546875" defaultRowHeight="15" outlineLevelRow="1"/>
  <cols>
    <col min="1" max="1" width="6.28515625" customWidth="1"/>
    <col min="2" max="2" width="82.140625" bestFit="1" customWidth="1"/>
    <col min="3" max="3" width="9.28515625" style="9" bestFit="1" customWidth="1"/>
    <col min="4" max="4" width="8.42578125" customWidth="1"/>
    <col min="5" max="6" width="9" customWidth="1"/>
    <col min="7" max="7" width="11.7109375" bestFit="1" customWidth="1"/>
    <col min="8" max="8" width="10.7109375" bestFit="1" customWidth="1"/>
    <col min="9" max="9" width="5.7109375" customWidth="1"/>
    <col min="10" max="10" width="5.710937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76</v>
      </c>
      <c r="G1" s="35">
        <f>+C197</f>
        <v>717</v>
      </c>
      <c r="H1" s="36">
        <f>+F1/G1</f>
        <v>0.10599721059972106</v>
      </c>
    </row>
    <row r="2" spans="1:10">
      <c r="A2" s="5" t="s">
        <v>229</v>
      </c>
      <c r="B2" s="3"/>
      <c r="C2" s="4"/>
      <c r="G2" s="38">
        <f>+G1/60</f>
        <v>11.95</v>
      </c>
    </row>
    <row r="3" spans="1:10" ht="45.75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.7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1.6736401673640166E-2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1.9525801952580194E-2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2.2315202231520222E-2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2.6499302649930265E-2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2.7894002789400279E-2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3.0683403068340307E-2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3.2078103207810321E-2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3.4867503486750349E-2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3.7656903765690378E-2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4.0446304044630406E-2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4.3235704323570434E-2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.7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5.0209205020920501E-2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5.0209205020920501E-2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.7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5.2998605299860529E-2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5.439330543933054E-2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5.5788005578800551E-2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5.7182705718270561E-2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5.997210599721059E-2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6.2761506276150611E-2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6.8340306834030667E-2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7.2524407252440706E-2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7.6708507670850745E-2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.7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8.3682008368200819E-2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8.3682008368200819E-2</v>
      </c>
      <c r="G28" s="41" t="str">
        <f>IF(COUNTA(G29:G34)=COUNTA(B29:B34), "COMPLETE", "")</f>
        <v>COMPLETE</v>
      </c>
      <c r="I28" s="9" t="str">
        <f t="shared" si="7"/>
        <v/>
      </c>
      <c r="J28" s="38" t="str">
        <f t="shared" si="8"/>
        <v/>
      </c>
    </row>
    <row r="29" spans="1:10" ht="15.7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8.7866108786610858E-2</v>
      </c>
      <c r="G29" s="30">
        <v>42787</v>
      </c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8.9260808926080876E-2</v>
      </c>
      <c r="G30" s="30">
        <v>42787</v>
      </c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9.2050209205020897E-2</v>
      </c>
      <c r="G31" s="30">
        <v>42787</v>
      </c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9.4839609483960918E-2</v>
      </c>
      <c r="G32" s="30">
        <v>42787</v>
      </c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9.9023709902370957E-2</v>
      </c>
      <c r="G33" s="30">
        <v>42787</v>
      </c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.7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0.10599721059972103</v>
      </c>
      <c r="G34" s="30">
        <v>42787</v>
      </c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0.10599721059972103</v>
      </c>
      <c r="G35" s="41" t="str">
        <f>IF(COUNTA(G36:G43)=COUNTA(B36:B43), "COMPLETE", "")</f>
        <v/>
      </c>
      <c r="I35" s="9" t="str">
        <f t="shared" si="7"/>
        <v/>
      </c>
      <c r="J35" s="38" t="str">
        <f t="shared" si="8"/>
        <v/>
      </c>
    </row>
    <row r="36" spans="1:10" ht="15.7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0.11018131101813107</v>
      </c>
      <c r="G36" s="30"/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0.11436541143654111</v>
      </c>
      <c r="G37" s="30"/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0.12133891213389118</v>
      </c>
      <c r="G38" s="30"/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0.1241283124128312</v>
      </c>
      <c r="G39" s="30"/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0.12831241283124126</v>
      </c>
      <c r="G40" s="30"/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0.13110181311018129</v>
      </c>
      <c r="G41" s="30"/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0.14086471408647139</v>
      </c>
      <c r="G42" s="30"/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.7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0.14783821478382145</v>
      </c>
      <c r="G43" s="30"/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0.14783821478382145</v>
      </c>
      <c r="G44" s="41" t="str">
        <f>IF(COUNTA(G45:G53)=COUNTA(B45:B53), "COMPLETE", "")</f>
        <v/>
      </c>
      <c r="I44" s="9" t="str">
        <f t="shared" si="7"/>
        <v/>
      </c>
      <c r="J44" s="38" t="str">
        <f t="shared" si="8"/>
        <v/>
      </c>
    </row>
    <row r="45" spans="1:10" ht="15.7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0.15062761506276148</v>
      </c>
      <c r="G45" s="30"/>
      <c r="H45" s="30"/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0.15760111576011154</v>
      </c>
      <c r="G46" s="30"/>
      <c r="H46" s="30"/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0.16039051603905158</v>
      </c>
      <c r="G47" s="30"/>
      <c r="H47" s="30"/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0.17154811715481169</v>
      </c>
      <c r="G48" s="30"/>
      <c r="H48" s="30"/>
      <c r="I48" s="9" t="str">
        <f t="shared" si="7"/>
        <v/>
      </c>
      <c r="J48" s="38" t="str">
        <f t="shared" si="8"/>
        <v/>
      </c>
    </row>
    <row r="49" spans="1:10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0.17712691771269173</v>
      </c>
      <c r="G49" s="30"/>
      <c r="H49" s="30"/>
      <c r="I49" s="9" t="str">
        <f t="shared" si="7"/>
        <v/>
      </c>
      <c r="J49" s="38" t="str">
        <f t="shared" si="8"/>
        <v/>
      </c>
    </row>
    <row r="50" spans="1:10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0.17852161785216175</v>
      </c>
      <c r="G50" s="30"/>
      <c r="H50" s="30"/>
      <c r="I50" s="9" t="str">
        <f t="shared" si="7"/>
        <v/>
      </c>
      <c r="J50" s="38" t="str">
        <f t="shared" si="8"/>
        <v/>
      </c>
    </row>
    <row r="51" spans="1:10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0.18549511854951181</v>
      </c>
      <c r="G51" s="30"/>
      <c r="H51" s="30"/>
      <c r="I51" s="9" t="str">
        <f t="shared" si="7"/>
        <v/>
      </c>
      <c r="J51" s="38" t="str">
        <f t="shared" si="8"/>
        <v/>
      </c>
    </row>
    <row r="52" spans="1:10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0.18828451882845185</v>
      </c>
      <c r="G52" s="30"/>
      <c r="H52" s="30"/>
      <c r="I52" s="9" t="str">
        <f t="shared" si="7"/>
        <v/>
      </c>
      <c r="J52" s="38" t="str">
        <f t="shared" si="8"/>
        <v/>
      </c>
    </row>
    <row r="53" spans="1:10" ht="15.7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0.19525801952580191</v>
      </c>
      <c r="G53" s="30"/>
      <c r="H53" s="30"/>
      <c r="I53" s="9" t="str">
        <f t="shared" si="7"/>
        <v/>
      </c>
      <c r="J53" s="38" t="str">
        <f t="shared" si="8"/>
        <v/>
      </c>
    </row>
    <row r="54" spans="1:10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0.19525801952580191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0" ht="15.7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0.19944211994421196</v>
      </c>
      <c r="G55" s="30"/>
      <c r="H55" s="30"/>
      <c r="I55" s="9" t="str">
        <f t="shared" si="7"/>
        <v/>
      </c>
      <c r="J55" s="38" t="str">
        <f t="shared" si="8"/>
        <v/>
      </c>
    </row>
    <row r="56" spans="1:10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0.20362622036262201</v>
      </c>
      <c r="G56" s="30"/>
      <c r="H56" s="30"/>
      <c r="I56" s="9" t="str">
        <f t="shared" si="7"/>
        <v/>
      </c>
      <c r="J56" s="38" t="str">
        <f t="shared" si="8"/>
        <v/>
      </c>
    </row>
    <row r="57" spans="1:10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0.20502092050209203</v>
      </c>
      <c r="G57" s="30"/>
      <c r="H57" s="30"/>
      <c r="I57" s="9" t="str">
        <f t="shared" si="7"/>
        <v/>
      </c>
      <c r="J57" s="38" t="str">
        <f t="shared" si="8"/>
        <v/>
      </c>
    </row>
    <row r="58" spans="1:10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0.21059972105997207</v>
      </c>
      <c r="G58" s="30"/>
      <c r="H58" s="30"/>
      <c r="I58" s="9" t="str">
        <f t="shared" si="7"/>
        <v/>
      </c>
      <c r="J58" s="38" t="str">
        <f t="shared" si="8"/>
        <v/>
      </c>
    </row>
    <row r="59" spans="1:10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0.21896792189679215</v>
      </c>
      <c r="G59" s="30"/>
      <c r="H59" s="30"/>
      <c r="I59" s="9" t="str">
        <f t="shared" si="7"/>
        <v/>
      </c>
      <c r="J59" s="38" t="str">
        <f t="shared" si="8"/>
        <v/>
      </c>
    </row>
    <row r="60" spans="1:10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0.22454672245467219</v>
      </c>
      <c r="G60" s="30"/>
      <c r="H60" s="30"/>
      <c r="I60" s="9" t="str">
        <f t="shared" si="7"/>
        <v/>
      </c>
      <c r="J60" s="38" t="str">
        <f t="shared" si="8"/>
        <v/>
      </c>
    </row>
    <row r="61" spans="1:10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0.22873082287308225</v>
      </c>
      <c r="G61" s="30"/>
      <c r="H61" s="30"/>
      <c r="I61" s="9" t="str">
        <f t="shared" si="7"/>
        <v/>
      </c>
      <c r="J61" s="38" t="str">
        <f t="shared" si="8"/>
        <v/>
      </c>
    </row>
    <row r="62" spans="1:10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0.23012552301255226</v>
      </c>
      <c r="G62" s="30"/>
      <c r="H62" s="30"/>
      <c r="I62" s="9" t="str">
        <f t="shared" si="7"/>
        <v/>
      </c>
      <c r="J62" s="38" t="str">
        <f t="shared" si="8"/>
        <v/>
      </c>
    </row>
    <row r="63" spans="1:10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0.23430962343096232</v>
      </c>
      <c r="G63" s="30"/>
      <c r="H63" s="30"/>
      <c r="I63" s="9" t="str">
        <f t="shared" si="7"/>
        <v/>
      </c>
      <c r="J63" s="38" t="str">
        <f t="shared" si="8"/>
        <v/>
      </c>
    </row>
    <row r="64" spans="1:10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0.23570432357043233</v>
      </c>
      <c r="G64" s="30"/>
      <c r="H64" s="30"/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0.23709902370990235</v>
      </c>
      <c r="G65" s="30"/>
      <c r="H65" s="30"/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0.23988842398884239</v>
      </c>
      <c r="G66" s="30"/>
      <c r="H66" s="30"/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0.24267782426778242</v>
      </c>
      <c r="G67" s="30"/>
      <c r="H67" s="30"/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0.24686192468619247</v>
      </c>
      <c r="G68" s="30"/>
      <c r="H68" s="30"/>
      <c r="I68" s="9" t="str">
        <f t="shared" si="7"/>
        <v/>
      </c>
      <c r="J68" s="38" t="str">
        <f t="shared" si="8"/>
        <v/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0.24965132496513251</v>
      </c>
      <c r="G69" s="30"/>
      <c r="H69" s="30"/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0.25244072524407252</v>
      </c>
      <c r="G70" s="30"/>
      <c r="H70" s="30"/>
      <c r="I70" s="9" t="str">
        <f t="shared" si="7"/>
        <v/>
      </c>
      <c r="J70" s="38" t="str">
        <f t="shared" si="8"/>
        <v/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0.25662482566248257</v>
      </c>
      <c r="G71" s="30"/>
      <c r="H71" s="30"/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0.26638772663877269</v>
      </c>
      <c r="G72" s="30"/>
      <c r="H72" s="30"/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0.27196652719665276</v>
      </c>
      <c r="G73" s="30"/>
      <c r="H73" s="30"/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0.27894002789400285</v>
      </c>
      <c r="G74" s="30"/>
      <c r="H74" s="30"/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0.31380753138075318</v>
      </c>
      <c r="G75" s="30"/>
      <c r="H75" s="30"/>
      <c r="I75" s="9" t="str">
        <f t="shared" si="15"/>
        <v/>
      </c>
      <c r="J75" s="38" t="str">
        <f t="shared" si="16"/>
        <v/>
      </c>
    </row>
    <row r="76" spans="1:10" ht="15.7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0.32078103207810327</v>
      </c>
      <c r="G76" s="30"/>
      <c r="H76" s="30"/>
      <c r="I76" s="9" t="str">
        <f t="shared" si="15"/>
        <v/>
      </c>
      <c r="J76" s="38" t="str">
        <f t="shared" si="16"/>
        <v/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0.32078103207810327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.7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0.32496513249651332</v>
      </c>
      <c r="G78" s="30"/>
      <c r="H78" s="30"/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0.33054393305439339</v>
      </c>
      <c r="G79" s="30"/>
      <c r="H79" s="30"/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0.3389121338912135</v>
      </c>
      <c r="G80" s="30"/>
      <c r="H80" s="30"/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0.34309623430962355</v>
      </c>
      <c r="G81" s="30"/>
      <c r="H81" s="30"/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0.3472803347280336</v>
      </c>
      <c r="G82" s="30"/>
      <c r="H82" s="30"/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0.35146443514644365</v>
      </c>
      <c r="G83" s="30"/>
      <c r="H83" s="30"/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0.35425383542538369</v>
      </c>
      <c r="G84" s="30"/>
      <c r="H84" s="30"/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0.36122733612273378</v>
      </c>
      <c r="G85" s="30"/>
      <c r="H85" s="30"/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0.3709902370990239</v>
      </c>
      <c r="G86" s="30"/>
      <c r="H86" s="30"/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0.37656903765690397</v>
      </c>
      <c r="G87" s="30"/>
      <c r="H87" s="30"/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0.38214783821478404</v>
      </c>
      <c r="G88" s="30"/>
      <c r="H88" s="30"/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0.38354253835425406</v>
      </c>
      <c r="G89" s="30"/>
      <c r="H89" s="30"/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0.38633193863319409</v>
      </c>
      <c r="G90" s="30"/>
      <c r="H90" s="30"/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0.38912133891213413</v>
      </c>
      <c r="G91" s="30"/>
      <c r="H91" s="30"/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0.39330543933054418</v>
      </c>
      <c r="G92" s="30"/>
      <c r="H92" s="30"/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0.40027894002789427</v>
      </c>
      <c r="G93" s="30"/>
      <c r="H93" s="30"/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0.40585774058577434</v>
      </c>
      <c r="G94" s="30"/>
      <c r="H94" s="30"/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0.41143654114365441</v>
      </c>
      <c r="G95" s="30"/>
      <c r="H95" s="30"/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0.41422594142259445</v>
      </c>
      <c r="G96" s="30"/>
      <c r="H96" s="30"/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0.41701534170153448</v>
      </c>
      <c r="G97" s="30"/>
      <c r="H97" s="30"/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0.41980474198047452</v>
      </c>
      <c r="G98" s="30"/>
      <c r="H98" s="30"/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0.42119944211994453</v>
      </c>
      <c r="G99" s="30"/>
      <c r="H99" s="30"/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0.42398884239888457</v>
      </c>
      <c r="G100" s="30"/>
      <c r="H100" s="30"/>
      <c r="I100" s="9" t="str">
        <f t="shared" si="15"/>
        <v/>
      </c>
      <c r="J100" s="38" t="str">
        <f t="shared" si="16"/>
        <v/>
      </c>
    </row>
    <row r="101" spans="1:10" ht="15.7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0.43096234309623466</v>
      </c>
      <c r="G101" s="30"/>
      <c r="H101" s="30"/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0.43096234309623466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.7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0.43654114365411473</v>
      </c>
      <c r="G103" s="30"/>
      <c r="H103" s="30"/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0.43933054393305476</v>
      </c>
      <c r="G104" s="30"/>
      <c r="H104" s="30"/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0.44351464435146482</v>
      </c>
      <c r="G105" s="30"/>
      <c r="H105" s="30"/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0.44490934449093483</v>
      </c>
      <c r="G106" s="30"/>
      <c r="H106" s="30"/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0.44909344490934489</v>
      </c>
      <c r="G107" s="30"/>
      <c r="H107" s="30"/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0.45188284518828492</v>
      </c>
      <c r="G108" s="30"/>
      <c r="H108" s="30"/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0.45606694560669497</v>
      </c>
      <c r="G109" s="30"/>
      <c r="H109" s="30"/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0.45885634588563501</v>
      </c>
      <c r="G110" s="30"/>
      <c r="H110" s="30"/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0.46025104602510503</v>
      </c>
      <c r="G111" s="30"/>
      <c r="H111" s="30"/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0.46722454672245511</v>
      </c>
      <c r="G112" s="30"/>
      <c r="H112" s="30"/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0.47140864714086517</v>
      </c>
      <c r="G113" s="30"/>
      <c r="H113" s="30"/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0.47559274755927522</v>
      </c>
      <c r="G114" s="30"/>
      <c r="H114" s="30"/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0.47977684797768527</v>
      </c>
      <c r="G115" s="30"/>
      <c r="H115" s="30"/>
      <c r="I115" s="9" t="str">
        <f t="shared" si="15"/>
        <v/>
      </c>
      <c r="J115" s="38" t="str">
        <f t="shared" si="16"/>
        <v/>
      </c>
    </row>
    <row r="116" spans="1:10" ht="15.7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0.48675034867503536</v>
      </c>
      <c r="G116" s="30"/>
      <c r="H116" s="30"/>
      <c r="I116" s="9" t="str">
        <f t="shared" si="15"/>
        <v/>
      </c>
      <c r="J116" s="38" t="str">
        <f t="shared" si="16"/>
        <v/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0.48675034867503536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.7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0.49372384937238545</v>
      </c>
      <c r="G118" s="30"/>
      <c r="H118" s="30"/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0.49651324965132548</v>
      </c>
      <c r="G119" s="30"/>
      <c r="H119" s="30"/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0.50069735006973548</v>
      </c>
      <c r="G120" s="30"/>
      <c r="H120" s="30"/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0.50348675034867552</v>
      </c>
      <c r="G121" s="30"/>
      <c r="H121" s="30"/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0.50906555090655559</v>
      </c>
      <c r="G122" s="30"/>
      <c r="H122" s="30"/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0.51185495118549562</v>
      </c>
      <c r="G123" s="30"/>
      <c r="H123" s="30"/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0.51324965132496558</v>
      </c>
      <c r="G124" s="30"/>
      <c r="H124" s="30"/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0.51743375174337558</v>
      </c>
      <c r="G125" s="30"/>
      <c r="H125" s="30"/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0.52022315202231562</v>
      </c>
      <c r="G126" s="30"/>
      <c r="H126" s="30"/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0.52301255230125565</v>
      </c>
      <c r="G127" s="30"/>
      <c r="H127" s="30"/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0.52998605299860568</v>
      </c>
      <c r="G128" s="30"/>
      <c r="H128" s="30"/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0.53417015341701568</v>
      </c>
      <c r="G129" s="30"/>
      <c r="H129" s="30"/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0.53556485355648564</v>
      </c>
      <c r="G130" s="30"/>
      <c r="H130" s="30"/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0.5369595536959556</v>
      </c>
      <c r="G131" s="30"/>
      <c r="H131" s="30"/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0.53835425383542557</v>
      </c>
      <c r="G132" s="30"/>
      <c r="H132" s="30"/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0.53974895397489553</v>
      </c>
      <c r="G133" s="30"/>
      <c r="H133" s="30"/>
      <c r="I133" s="9" t="str">
        <f t="shared" si="15"/>
        <v/>
      </c>
      <c r="J133" s="38" t="str">
        <f t="shared" si="16"/>
        <v/>
      </c>
    </row>
    <row r="134" spans="1:10" ht="15.7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0.54253835425383556</v>
      </c>
      <c r="G134" s="30"/>
      <c r="H134" s="30"/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204</v>
      </c>
      <c r="E135" s="27"/>
      <c r="F135" s="29">
        <f t="shared" si="14"/>
        <v>0.54253835425383556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.75" outlineLevel="1" thickBot="1">
      <c r="B136" s="18" t="s">
        <v>159</v>
      </c>
      <c r="C136" s="13">
        <v>4</v>
      </c>
      <c r="D136" s="21">
        <f>D135/60</f>
        <v>3.4</v>
      </c>
      <c r="E136" s="15">
        <f>E135+(C136/$D$135)</f>
        <v>1.9607843137254902E-2</v>
      </c>
      <c r="F136" s="15">
        <f t="shared" ref="F136:F195" si="21">F135+(C136/$C$197)</f>
        <v>0.54811715481171563</v>
      </c>
      <c r="G136" s="30"/>
      <c r="H136" s="30"/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3.9215686274509803E-2</v>
      </c>
      <c r="F137" s="15">
        <f t="shared" si="21"/>
        <v>0.5536959553695957</v>
      </c>
      <c r="G137" s="30"/>
      <c r="H137" s="30"/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5.8823529411764705E-2</v>
      </c>
      <c r="F138" s="15">
        <f t="shared" si="21"/>
        <v>0.55927475592747578</v>
      </c>
      <c r="G138" s="30"/>
      <c r="H138" s="30"/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7.8431372549019607E-2</v>
      </c>
      <c r="F139" s="15">
        <f t="shared" si="21"/>
        <v>0.56485355648535585</v>
      </c>
      <c r="G139" s="30"/>
      <c r="H139" s="30"/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9.3137254901960786E-2</v>
      </c>
      <c r="F140" s="15">
        <f t="shared" si="21"/>
        <v>0.56903765690376584</v>
      </c>
      <c r="G140" s="30"/>
      <c r="H140" s="30"/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0.10294117647058823</v>
      </c>
      <c r="F141" s="15">
        <f t="shared" si="21"/>
        <v>0.57182705718270588</v>
      </c>
      <c r="G141" s="30"/>
      <c r="H141" s="30"/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0.12254901960784313</v>
      </c>
      <c r="F142" s="15">
        <f t="shared" si="21"/>
        <v>0.57740585774058595</v>
      </c>
      <c r="G142" s="30"/>
      <c r="H142" s="30"/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0.15686274509803921</v>
      </c>
      <c r="F143" s="15">
        <f t="shared" si="21"/>
        <v>0.58716875871687602</v>
      </c>
      <c r="G143" s="30"/>
      <c r="H143" s="30"/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0.16176470588235295</v>
      </c>
      <c r="F144" s="15">
        <f t="shared" si="21"/>
        <v>0.58856345885634598</v>
      </c>
      <c r="G144" s="30"/>
      <c r="H144" s="30"/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0.17647058823529413</v>
      </c>
      <c r="F145" s="15">
        <f t="shared" si="21"/>
        <v>0.59274755927475598</v>
      </c>
      <c r="G145" s="30"/>
      <c r="H145" s="30"/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0.18627450980392157</v>
      </c>
      <c r="F146" s="15">
        <f t="shared" si="21"/>
        <v>0.59553695955369601</v>
      </c>
      <c r="G146" s="30"/>
      <c r="H146" s="30"/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0.19607843137254902</v>
      </c>
      <c r="F147" s="15">
        <f t="shared" si="21"/>
        <v>0.59832635983263605</v>
      </c>
      <c r="G147" s="30"/>
      <c r="H147" s="30"/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0.2107843137254902</v>
      </c>
      <c r="F148" s="15">
        <f t="shared" si="21"/>
        <v>0.60251046025104604</v>
      </c>
      <c r="G148" s="30"/>
      <c r="H148" s="30"/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0.22549019607843138</v>
      </c>
      <c r="F149" s="15">
        <f t="shared" si="21"/>
        <v>0.60669456066945604</v>
      </c>
      <c r="G149" s="30"/>
      <c r="H149" s="30"/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0.25</v>
      </c>
      <c r="F150" s="15">
        <f t="shared" si="21"/>
        <v>0.61366806136680607</v>
      </c>
      <c r="G150" s="30"/>
      <c r="H150" s="30"/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178</v>
      </c>
      <c r="C151" s="13">
        <v>14</v>
      </c>
      <c r="D151" s="19"/>
      <c r="E151" s="15">
        <f t="shared" si="24"/>
        <v>0.31862745098039214</v>
      </c>
      <c r="F151" s="15">
        <f t="shared" si="21"/>
        <v>0.63319386331938632</v>
      </c>
      <c r="G151" s="30"/>
      <c r="H151" s="30"/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179</v>
      </c>
      <c r="C152" s="13">
        <v>30</v>
      </c>
      <c r="D152" s="19"/>
      <c r="E152" s="15">
        <f t="shared" si="24"/>
        <v>0.46568627450980393</v>
      </c>
      <c r="F152" s="15">
        <f t="shared" si="21"/>
        <v>0.67503486750348674</v>
      </c>
      <c r="G152" s="30"/>
      <c r="H152" s="30"/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0.49019607843137258</v>
      </c>
      <c r="F153" s="15">
        <f t="shared" si="21"/>
        <v>0.68200836820083677</v>
      </c>
      <c r="G153" s="30"/>
      <c r="H153" s="30"/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0.51960784313725494</v>
      </c>
      <c r="F154" s="15">
        <f t="shared" si="21"/>
        <v>0.69037656903765687</v>
      </c>
      <c r="G154" s="30"/>
      <c r="H154" s="30"/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0.53921568627450989</v>
      </c>
      <c r="F155" s="15">
        <f t="shared" si="21"/>
        <v>0.69595536959553694</v>
      </c>
      <c r="G155" s="30"/>
      <c r="H155" s="30"/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0.55882352941176483</v>
      </c>
      <c r="F156" s="15">
        <f t="shared" si="21"/>
        <v>0.70153417015341701</v>
      </c>
      <c r="G156" s="30"/>
      <c r="H156" s="30"/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0.57843137254901977</v>
      </c>
      <c r="F157" s="15">
        <f t="shared" si="21"/>
        <v>0.70711297071129708</v>
      </c>
      <c r="G157" s="30"/>
      <c r="H157" s="30"/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0.59803921568627472</v>
      </c>
      <c r="F158" s="15">
        <f t="shared" si="21"/>
        <v>0.71269177126917715</v>
      </c>
      <c r="G158" s="30"/>
      <c r="H158" s="30"/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0.62254901960784337</v>
      </c>
      <c r="F159" s="15">
        <f t="shared" si="21"/>
        <v>0.71966527196652719</v>
      </c>
      <c r="G159" s="30"/>
      <c r="H159" s="30"/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0.63725490196078449</v>
      </c>
      <c r="F160" s="15">
        <f t="shared" si="21"/>
        <v>0.72384937238493718</v>
      </c>
      <c r="G160" s="30"/>
      <c r="H160" s="30"/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0.6862745098039218</v>
      </c>
      <c r="F161" s="15">
        <f t="shared" si="21"/>
        <v>0.73779637377963736</v>
      </c>
      <c r="G161" s="30"/>
      <c r="H161" s="30"/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0.71568627450980415</v>
      </c>
      <c r="F162" s="15">
        <f t="shared" si="21"/>
        <v>0.74616457461645747</v>
      </c>
      <c r="G162" s="30"/>
      <c r="H162" s="30"/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0.75000000000000022</v>
      </c>
      <c r="F163" s="15">
        <f t="shared" si="21"/>
        <v>0.75592747559274753</v>
      </c>
      <c r="G163" s="30"/>
      <c r="H163" s="30"/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0.78921568627451</v>
      </c>
      <c r="F164" s="15">
        <f t="shared" si="21"/>
        <v>0.76708507670850767</v>
      </c>
      <c r="G164" s="30"/>
      <c r="H164" s="30"/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0.80882352941176494</v>
      </c>
      <c r="F165" s="15">
        <f t="shared" si="21"/>
        <v>0.77266387726638774</v>
      </c>
      <c r="G165" s="30"/>
      <c r="H165" s="30"/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0.8382352941176473</v>
      </c>
      <c r="F166" s="15">
        <f t="shared" si="21"/>
        <v>0.78103207810320785</v>
      </c>
      <c r="G166" s="30"/>
      <c r="H166" s="30"/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0.85784313725490224</v>
      </c>
      <c r="F167" s="15">
        <f t="shared" si="21"/>
        <v>0.78661087866108792</v>
      </c>
      <c r="G167" s="30"/>
      <c r="H167" s="30"/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0.90686274509803955</v>
      </c>
      <c r="F168" s="15">
        <f t="shared" si="21"/>
        <v>0.8005578800557881</v>
      </c>
      <c r="G168" s="30"/>
      <c r="H168" s="30"/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0.92647058823529449</v>
      </c>
      <c r="F169" s="15">
        <f t="shared" si="21"/>
        <v>0.80613668061366817</v>
      </c>
      <c r="G169" s="30"/>
      <c r="H169" s="30"/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0.94607843137254943</v>
      </c>
      <c r="F170" s="15">
        <f t="shared" si="21"/>
        <v>0.81171548117154824</v>
      </c>
      <c r="G170" s="30"/>
      <c r="H170" s="30"/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0.97549019607843179</v>
      </c>
      <c r="F171" s="15">
        <f t="shared" si="21"/>
        <v>0.82008368200836834</v>
      </c>
      <c r="G171" s="30"/>
      <c r="H171" s="30"/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0.99019607843137292</v>
      </c>
      <c r="F172" s="15">
        <f t="shared" si="21"/>
        <v>0.82426778242677834</v>
      </c>
      <c r="G172" s="30"/>
      <c r="H172" s="30"/>
      <c r="I172" s="9" t="str">
        <f t="shared" si="22"/>
        <v/>
      </c>
      <c r="J172" s="38" t="str">
        <f t="shared" si="23"/>
        <v/>
      </c>
    </row>
    <row r="173" spans="1:10" ht="15.75" outlineLevel="1" thickBot="1">
      <c r="B173" s="18" t="s">
        <v>202</v>
      </c>
      <c r="C173" s="13">
        <v>2</v>
      </c>
      <c r="D173" s="19"/>
      <c r="E173" s="15">
        <f t="shared" si="24"/>
        <v>1.0000000000000004</v>
      </c>
      <c r="F173" s="15">
        <f t="shared" si="21"/>
        <v>0.82705718270571837</v>
      </c>
      <c r="G173" s="30"/>
      <c r="H173" s="30"/>
      <c r="I173" s="9" t="str">
        <f t="shared" si="22"/>
        <v/>
      </c>
      <c r="J173" s="38" t="str">
        <f t="shared" si="23"/>
        <v/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0.82705718270571837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.7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0.83542538354253848</v>
      </c>
      <c r="G175" s="30"/>
      <c r="H175" s="30"/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0.84518828451882855</v>
      </c>
      <c r="G176" s="30"/>
      <c r="H176" s="30"/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0.85076708507670862</v>
      </c>
      <c r="G177" s="30"/>
      <c r="H177" s="30"/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0.86331938633193872</v>
      </c>
      <c r="G178" s="30"/>
      <c r="H178" s="30"/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0.86750348675034872</v>
      </c>
      <c r="G179" s="30"/>
      <c r="H179" s="30"/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0.87029288702928875</v>
      </c>
      <c r="G180" s="30"/>
      <c r="H180" s="30"/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0.87447698744769875</v>
      </c>
      <c r="G181" s="30"/>
      <c r="H181" s="30"/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0.88284518828451886</v>
      </c>
      <c r="G182" s="30"/>
      <c r="H182" s="30"/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0.89958158995815907</v>
      </c>
      <c r="G183" s="30"/>
      <c r="H183" s="30"/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0.91073919107391921</v>
      </c>
      <c r="G184" s="30"/>
      <c r="H184" s="30"/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0.93305439330543938</v>
      </c>
      <c r="G185" s="30"/>
      <c r="H185" s="30"/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0.94839609483960952</v>
      </c>
      <c r="G186" s="30"/>
      <c r="H186" s="30"/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0.95676429567642962</v>
      </c>
      <c r="G187" s="30"/>
      <c r="H187" s="30"/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0.96094839609483962</v>
      </c>
      <c r="G188" s="30"/>
      <c r="H188" s="30"/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0.96513249651324962</v>
      </c>
      <c r="G189" s="30"/>
      <c r="H189" s="30"/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0.97350069735006972</v>
      </c>
      <c r="G190" s="30"/>
      <c r="H190" s="30"/>
      <c r="I190" s="9" t="str">
        <f t="shared" si="22"/>
        <v/>
      </c>
      <c r="J190" s="38" t="str">
        <f t="shared" si="23"/>
        <v/>
      </c>
    </row>
    <row r="191" spans="1:10" ht="15.7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0.97768479776847972</v>
      </c>
      <c r="G191" s="30"/>
      <c r="H191" s="30"/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0.97768479776847972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.7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0.98744769874476979</v>
      </c>
      <c r="G193" s="30"/>
      <c r="H193" s="30"/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0.99581589958158989</v>
      </c>
      <c r="G194" s="30"/>
      <c r="H194" s="30"/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0.99999999999999989</v>
      </c>
      <c r="G195" s="30"/>
      <c r="H195" s="30"/>
      <c r="I195" s="9" t="str">
        <f t="shared" si="22"/>
        <v/>
      </c>
      <c r="J195" s="38" t="str">
        <f t="shared" si="23"/>
        <v/>
      </c>
    </row>
    <row r="197" spans="2:10" ht="15.75" thickBot="1">
      <c r="B197" s="39" t="s">
        <v>8</v>
      </c>
      <c r="C197" s="40">
        <f>SUM(C4:C196)</f>
        <v>717</v>
      </c>
    </row>
    <row r="198" spans="2:10" ht="15.75" thickTop="1">
      <c r="B198" s="39" t="s">
        <v>9</v>
      </c>
      <c r="C198" s="12">
        <f>+C197/60</f>
        <v>11.95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219"/>
  <sheetViews>
    <sheetView workbookViewId="0">
      <selection sqref="A1:A219"/>
    </sheetView>
  </sheetViews>
  <sheetFormatPr defaultRowHeight="15"/>
  <sheetData>
    <row r="1" spans="1:1">
      <c r="A1" s="42" t="s">
        <v>10</v>
      </c>
    </row>
    <row r="2" spans="1:1" ht="19.5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.75" thickBot="1">
      <c r="A6" s="44" t="s">
        <v>15</v>
      </c>
    </row>
    <row r="7" spans="1:1" ht="15.75" thickBot="1">
      <c r="A7" s="43" t="s">
        <v>16</v>
      </c>
    </row>
    <row r="8" spans="1:1" ht="15.75" thickBot="1">
      <c r="A8" s="43" t="s">
        <v>17</v>
      </c>
    </row>
    <row r="9" spans="1:1" ht="15.75" thickBot="1">
      <c r="A9" s="43" t="s">
        <v>18</v>
      </c>
    </row>
    <row r="10" spans="1:1" ht="15.75" thickBot="1">
      <c r="A10" s="43" t="s">
        <v>19</v>
      </c>
    </row>
    <row r="11" spans="1:1" ht="15.75" thickBot="1">
      <c r="A11" s="43" t="s">
        <v>20</v>
      </c>
    </row>
    <row r="12" spans="1:1" ht="15.75" thickBot="1">
      <c r="A12" s="43" t="s">
        <v>21</v>
      </c>
    </row>
    <row r="13" spans="1:1" ht="15.75" thickBot="1">
      <c r="A13" s="43" t="s">
        <v>22</v>
      </c>
    </row>
    <row r="14" spans="1:1" ht="15.75" thickBot="1">
      <c r="A14" s="43" t="s">
        <v>23</v>
      </c>
    </row>
    <row r="15" spans="1:1" ht="15.75" thickBot="1">
      <c r="A15" s="43" t="s">
        <v>24</v>
      </c>
    </row>
    <row r="16" spans="1:1" ht="15.7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.5" thickBot="1">
      <c r="A19" s="46" t="s">
        <v>28</v>
      </c>
    </row>
    <row r="20" spans="1:1" ht="15.75" thickBot="1">
      <c r="A20" s="45" t="s">
        <v>29</v>
      </c>
    </row>
    <row r="21" spans="1:1" ht="15.75" thickBot="1">
      <c r="A21" s="43" t="s">
        <v>30</v>
      </c>
    </row>
    <row r="22" spans="1:1" ht="15.75" thickBot="1">
      <c r="A22" s="43" t="s">
        <v>31</v>
      </c>
    </row>
    <row r="23" spans="1:1" ht="15.75" thickBot="1">
      <c r="A23" s="43" t="s">
        <v>32</v>
      </c>
    </row>
    <row r="24" spans="1:1" ht="15.75" thickBot="1">
      <c r="A24" s="43" t="s">
        <v>33</v>
      </c>
    </row>
    <row r="25" spans="1:1" ht="15.75" thickBot="1">
      <c r="A25" s="43" t="s">
        <v>34</v>
      </c>
    </row>
    <row r="26" spans="1:1" ht="15.75" thickBot="1">
      <c r="A26" s="43" t="s">
        <v>35</v>
      </c>
    </row>
    <row r="27" spans="1:1" ht="15.75" thickBot="1">
      <c r="A27" s="43" t="s">
        <v>36</v>
      </c>
    </row>
    <row r="28" spans="1:1" ht="15.7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.5" thickBot="1">
      <c r="A31" s="46" t="s">
        <v>40</v>
      </c>
    </row>
    <row r="32" spans="1:1" ht="15.75" thickBot="1">
      <c r="A32" s="45" t="s">
        <v>41</v>
      </c>
    </row>
    <row r="33" spans="1:1" ht="15.75" thickBot="1">
      <c r="A33" s="43" t="s">
        <v>42</v>
      </c>
    </row>
    <row r="34" spans="1:1" ht="15.75" thickBot="1">
      <c r="A34" s="43" t="s">
        <v>43</v>
      </c>
    </row>
    <row r="35" spans="1:1" ht="15.75" thickBot="1">
      <c r="A35" s="43" t="s">
        <v>44</v>
      </c>
    </row>
    <row r="36" spans="1:1" ht="15.7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.5" thickBot="1">
      <c r="A39" s="46" t="s">
        <v>48</v>
      </c>
    </row>
    <row r="40" spans="1:1">
      <c r="A40" s="45" t="s">
        <v>49</v>
      </c>
    </row>
    <row r="41" spans="1:1" ht="15.75" thickBot="1">
      <c r="A41" s="44" t="s">
        <v>50</v>
      </c>
    </row>
    <row r="42" spans="1:1" ht="15.75" thickBot="1">
      <c r="A42" s="43" t="s">
        <v>51</v>
      </c>
    </row>
    <row r="43" spans="1:1" ht="15.75" thickBot="1">
      <c r="A43" s="43" t="s">
        <v>52</v>
      </c>
    </row>
    <row r="44" spans="1:1" ht="15.75" thickBot="1">
      <c r="A44" s="43" t="s">
        <v>53</v>
      </c>
    </row>
    <row r="45" spans="1:1" ht="15.75" thickBot="1">
      <c r="A45" s="43" t="s">
        <v>54</v>
      </c>
    </row>
    <row r="46" spans="1:1" ht="15.75" thickBot="1">
      <c r="A46" s="43" t="s">
        <v>55</v>
      </c>
    </row>
    <row r="47" spans="1:1">
      <c r="A47" s="43" t="s">
        <v>56</v>
      </c>
    </row>
    <row r="48" spans="1:1" ht="15.7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.5" thickBot="1">
      <c r="A51" s="46" t="s">
        <v>60</v>
      </c>
    </row>
    <row r="52" spans="1:1" ht="15.75" thickBot="1">
      <c r="A52" s="45" t="s">
        <v>61</v>
      </c>
    </row>
    <row r="53" spans="1:1" ht="15.75" thickBot="1">
      <c r="A53" s="43" t="s">
        <v>62</v>
      </c>
    </row>
    <row r="54" spans="1:1" ht="15.75" thickBot="1">
      <c r="A54" s="43" t="s">
        <v>63</v>
      </c>
    </row>
    <row r="55" spans="1:1" ht="15.75" thickBot="1">
      <c r="A55" s="43" t="s">
        <v>64</v>
      </c>
    </row>
    <row r="56" spans="1:1" ht="15.75" thickBot="1">
      <c r="A56" s="43" t="s">
        <v>65</v>
      </c>
    </row>
    <row r="57" spans="1:1" ht="15.75" thickBot="1">
      <c r="A57" s="43" t="s">
        <v>66</v>
      </c>
    </row>
    <row r="58" spans="1:1" ht="15.75" thickBot="1">
      <c r="A58" s="43" t="s">
        <v>67</v>
      </c>
    </row>
    <row r="59" spans="1:1" ht="15.7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.5" thickBot="1">
      <c r="A62" s="46" t="s">
        <v>71</v>
      </c>
    </row>
    <row r="63" spans="1:1" ht="15.75" thickBot="1">
      <c r="A63" s="45" t="s">
        <v>72</v>
      </c>
    </row>
    <row r="64" spans="1:1" ht="15.75" thickBot="1">
      <c r="A64" s="43" t="s">
        <v>73</v>
      </c>
    </row>
    <row r="65" spans="1:1" ht="15.75" thickBot="1">
      <c r="A65" s="43" t="s">
        <v>74</v>
      </c>
    </row>
    <row r="66" spans="1:1" ht="15.75" thickBot="1">
      <c r="A66" s="43" t="s">
        <v>75</v>
      </c>
    </row>
    <row r="67" spans="1:1">
      <c r="A67" s="43" t="s">
        <v>76</v>
      </c>
    </row>
    <row r="68" spans="1:1" ht="15.75" thickBot="1">
      <c r="A68" s="44" t="s">
        <v>77</v>
      </c>
    </row>
    <row r="69" spans="1:1" ht="15.75" thickBot="1">
      <c r="A69" s="43" t="s">
        <v>78</v>
      </c>
    </row>
    <row r="70" spans="1:1" ht="15.75" thickBot="1">
      <c r="A70" s="43" t="s">
        <v>79</v>
      </c>
    </row>
    <row r="71" spans="1:1">
      <c r="A71" s="43" t="s">
        <v>80</v>
      </c>
    </row>
    <row r="72" spans="1:1" ht="15.75" thickBot="1">
      <c r="A72" s="44" t="s">
        <v>81</v>
      </c>
    </row>
    <row r="73" spans="1:1" ht="15.75" thickBot="1">
      <c r="A73" s="43" t="s">
        <v>82</v>
      </c>
    </row>
    <row r="74" spans="1:1" ht="15.75" thickBot="1">
      <c r="A74" s="43" t="s">
        <v>83</v>
      </c>
    </row>
    <row r="75" spans="1:1" ht="15.75" thickBot="1">
      <c r="A75" s="43" t="s">
        <v>84</v>
      </c>
    </row>
    <row r="76" spans="1:1" ht="15.75" thickBot="1">
      <c r="A76" s="43" t="s">
        <v>85</v>
      </c>
    </row>
    <row r="77" spans="1:1" ht="15.75" thickBot="1">
      <c r="A77" s="43" t="s">
        <v>86</v>
      </c>
    </row>
    <row r="78" spans="1:1" ht="15.75" thickBot="1">
      <c r="A78" s="43" t="s">
        <v>87</v>
      </c>
    </row>
    <row r="79" spans="1:1" ht="15.75" thickBot="1">
      <c r="A79" s="43" t="s">
        <v>88</v>
      </c>
    </row>
    <row r="80" spans="1:1" ht="15.75" thickBot="1">
      <c r="A80" s="43" t="s">
        <v>89</v>
      </c>
    </row>
    <row r="81" spans="1:1" ht="15.75" thickBot="1">
      <c r="A81" s="43" t="s">
        <v>90</v>
      </c>
    </row>
    <row r="82" spans="1:1" ht="15.75" thickBot="1">
      <c r="A82" s="43" t="s">
        <v>91</v>
      </c>
    </row>
    <row r="83" spans="1:1" ht="15.75" thickBot="1">
      <c r="A83" s="43" t="s">
        <v>92</v>
      </c>
    </row>
    <row r="84" spans="1:1">
      <c r="A84" s="43" t="s">
        <v>93</v>
      </c>
    </row>
    <row r="85" spans="1:1" ht="15.75" thickBot="1">
      <c r="A85" s="44" t="s">
        <v>15</v>
      </c>
    </row>
    <row r="86" spans="1:1" ht="15.7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.5" thickBot="1">
      <c r="A89" s="46" t="s">
        <v>97</v>
      </c>
    </row>
    <row r="90" spans="1:1" ht="15.75" thickBot="1">
      <c r="A90" s="45" t="s">
        <v>98</v>
      </c>
    </row>
    <row r="91" spans="1:1" ht="15.75" thickBot="1">
      <c r="A91" s="43" t="s">
        <v>99</v>
      </c>
    </row>
    <row r="92" spans="1:1" ht="15.75" thickBot="1">
      <c r="A92" s="43" t="s">
        <v>100</v>
      </c>
    </row>
    <row r="93" spans="1:1" ht="15.75" thickBot="1">
      <c r="A93" s="43" t="s">
        <v>101</v>
      </c>
    </row>
    <row r="94" spans="1:1" ht="15.75" thickBot="1">
      <c r="A94" s="43" t="s">
        <v>102</v>
      </c>
    </row>
    <row r="95" spans="1:1" ht="15.75" thickBot="1">
      <c r="A95" s="43" t="s">
        <v>103</v>
      </c>
    </row>
    <row r="96" spans="1:1" ht="15.75" thickBot="1">
      <c r="A96" s="43" t="s">
        <v>104</v>
      </c>
    </row>
    <row r="97" spans="1:1" ht="15.75" thickBot="1">
      <c r="A97" s="43" t="s">
        <v>105</v>
      </c>
    </row>
    <row r="98" spans="1:1" ht="15.75" thickBot="1">
      <c r="A98" s="43" t="s">
        <v>106</v>
      </c>
    </row>
    <row r="99" spans="1:1" ht="15.75" thickBot="1">
      <c r="A99" s="43" t="s">
        <v>107</v>
      </c>
    </row>
    <row r="100" spans="1:1" ht="15.75" thickBot="1">
      <c r="A100" s="43" t="s">
        <v>108</v>
      </c>
    </row>
    <row r="101" spans="1:1" ht="15.75" thickBot="1">
      <c r="A101" s="43" t="s">
        <v>109</v>
      </c>
    </row>
    <row r="102" spans="1:1" ht="15.75" thickBot="1">
      <c r="A102" s="43" t="s">
        <v>110</v>
      </c>
    </row>
    <row r="103" spans="1:1" ht="15.75" thickBot="1">
      <c r="A103" s="43" t="s">
        <v>111</v>
      </c>
    </row>
    <row r="104" spans="1:1" ht="15.75" thickBot="1">
      <c r="A104" s="43" t="s">
        <v>112</v>
      </c>
    </row>
    <row r="105" spans="1:1" ht="15.75" thickBot="1">
      <c r="A105" s="43" t="s">
        <v>113</v>
      </c>
    </row>
    <row r="106" spans="1:1" ht="15.75" thickBot="1">
      <c r="A106" s="43" t="s">
        <v>114</v>
      </c>
    </row>
    <row r="107" spans="1:1" ht="15.75" thickBot="1">
      <c r="A107" s="43" t="s">
        <v>115</v>
      </c>
    </row>
    <row r="108" spans="1:1" ht="15.75" thickBot="1">
      <c r="A108" s="43" t="s">
        <v>116</v>
      </c>
    </row>
    <row r="109" spans="1:1" ht="15.75" thickBot="1">
      <c r="A109" s="43" t="s">
        <v>117</v>
      </c>
    </row>
    <row r="110" spans="1:1" ht="15.75" thickBot="1">
      <c r="A110" s="43" t="s">
        <v>118</v>
      </c>
    </row>
    <row r="111" spans="1:1" ht="15.75" thickBot="1">
      <c r="A111" s="43" t="s">
        <v>119</v>
      </c>
    </row>
    <row r="112" spans="1:1" ht="15.7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.5" thickBot="1">
      <c r="A115" s="46" t="s">
        <v>123</v>
      </c>
    </row>
    <row r="116" spans="1:1" ht="15.75" thickBot="1">
      <c r="A116" s="45" t="s">
        <v>124</v>
      </c>
    </row>
    <row r="117" spans="1:1" ht="15.75" thickBot="1">
      <c r="A117" s="43" t="s">
        <v>125</v>
      </c>
    </row>
    <row r="118" spans="1:1" ht="15.75" thickBot="1">
      <c r="A118" s="43" t="s">
        <v>126</v>
      </c>
    </row>
    <row r="119" spans="1:1" ht="15.75" thickBot="1">
      <c r="A119" s="43" t="s">
        <v>127</v>
      </c>
    </row>
    <row r="120" spans="1:1" ht="15.75" thickBot="1">
      <c r="A120" s="43" t="s">
        <v>128</v>
      </c>
    </row>
    <row r="121" spans="1:1" ht="15.75" thickBot="1">
      <c r="A121" s="43" t="s">
        <v>129</v>
      </c>
    </row>
    <row r="122" spans="1:1" ht="15.75" thickBot="1">
      <c r="A122" s="43" t="s">
        <v>130</v>
      </c>
    </row>
    <row r="123" spans="1:1" ht="15.75" thickBot="1">
      <c r="A123" s="43" t="s">
        <v>131</v>
      </c>
    </row>
    <row r="124" spans="1:1" ht="15.75" thickBot="1">
      <c r="A124" s="43" t="s">
        <v>132</v>
      </c>
    </row>
    <row r="125" spans="1:1" ht="15.75" thickBot="1">
      <c r="A125" s="43" t="s">
        <v>133</v>
      </c>
    </row>
    <row r="126" spans="1:1" ht="15.75" thickBot="1">
      <c r="A126" s="43" t="s">
        <v>134</v>
      </c>
    </row>
    <row r="127" spans="1:1" ht="15.75" thickBot="1">
      <c r="A127" s="43" t="s">
        <v>135</v>
      </c>
    </row>
    <row r="128" spans="1:1" ht="15.7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.5" thickBot="1">
      <c r="A131" s="46" t="s">
        <v>139</v>
      </c>
    </row>
    <row r="132" spans="1:1" ht="15.75" thickBot="1">
      <c r="A132" s="45" t="s">
        <v>140</v>
      </c>
    </row>
    <row r="133" spans="1:1" ht="15.75" thickBot="1">
      <c r="A133" s="43" t="s">
        <v>141</v>
      </c>
    </row>
    <row r="134" spans="1:1" ht="15.75" thickBot="1">
      <c r="A134" s="43" t="s">
        <v>142</v>
      </c>
    </row>
    <row r="135" spans="1:1" ht="15.75" thickBot="1">
      <c r="A135" s="43" t="s">
        <v>143</v>
      </c>
    </row>
    <row r="136" spans="1:1" ht="15.75" thickBot="1">
      <c r="A136" s="43" t="s">
        <v>144</v>
      </c>
    </row>
    <row r="137" spans="1:1" ht="15.75" thickBot="1">
      <c r="A137" s="43" t="s">
        <v>145</v>
      </c>
    </row>
    <row r="138" spans="1:1" ht="15.75" thickBot="1">
      <c r="A138" s="43" t="s">
        <v>146</v>
      </c>
    </row>
    <row r="139" spans="1:1" ht="15.75" thickBot="1">
      <c r="A139" s="43" t="s">
        <v>147</v>
      </c>
    </row>
    <row r="140" spans="1:1" ht="15.75" thickBot="1">
      <c r="A140" s="43" t="s">
        <v>148</v>
      </c>
    </row>
    <row r="141" spans="1:1" ht="15.75" thickBot="1">
      <c r="A141" s="43" t="s">
        <v>149</v>
      </c>
    </row>
    <row r="142" spans="1:1" ht="15.75" thickBot="1">
      <c r="A142" s="43" t="s">
        <v>150</v>
      </c>
    </row>
    <row r="143" spans="1:1" ht="15.75" thickBot="1">
      <c r="A143" s="43" t="s">
        <v>151</v>
      </c>
    </row>
    <row r="144" spans="1:1" ht="15.75" thickBot="1">
      <c r="A144" s="43" t="s">
        <v>152</v>
      </c>
    </row>
    <row r="145" spans="1:1" ht="15.75" thickBot="1">
      <c r="A145" s="43" t="s">
        <v>153</v>
      </c>
    </row>
    <row r="146" spans="1:1" ht="15.75" thickBot="1">
      <c r="A146" s="43" t="s">
        <v>154</v>
      </c>
    </row>
    <row r="147" spans="1:1" ht="15.7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.5" thickBot="1">
      <c r="A150" s="46" t="s">
        <v>158</v>
      </c>
    </row>
    <row r="151" spans="1:1" ht="15.75" thickBot="1">
      <c r="A151" s="45" t="s">
        <v>159</v>
      </c>
    </row>
    <row r="152" spans="1:1" ht="15.75" thickBot="1">
      <c r="A152" s="43" t="s">
        <v>160</v>
      </c>
    </row>
    <row r="153" spans="1:1">
      <c r="A153" s="43" t="s">
        <v>161</v>
      </c>
    </row>
    <row r="154" spans="1:1" ht="15.75" thickBot="1">
      <c r="A154" s="44" t="s">
        <v>162</v>
      </c>
    </row>
    <row r="155" spans="1:1">
      <c r="A155" s="43" t="s">
        <v>163</v>
      </c>
    </row>
    <row r="156" spans="1:1" ht="15.75" thickBot="1">
      <c r="A156" s="44" t="s">
        <v>164</v>
      </c>
    </row>
    <row r="157" spans="1:1">
      <c r="A157" s="43" t="s">
        <v>165</v>
      </c>
    </row>
    <row r="158" spans="1:1" ht="15.75" thickBot="1">
      <c r="A158" s="44" t="s">
        <v>166</v>
      </c>
    </row>
    <row r="159" spans="1:1" ht="15.75" thickBot="1">
      <c r="A159" s="43" t="s">
        <v>167</v>
      </c>
    </row>
    <row r="160" spans="1:1" ht="15.75" thickBot="1">
      <c r="A160" s="43" t="s">
        <v>168</v>
      </c>
    </row>
    <row r="161" spans="1:1">
      <c r="A161" s="43" t="s">
        <v>169</v>
      </c>
    </row>
    <row r="162" spans="1:1" ht="15.75" thickBot="1">
      <c r="A162" s="44" t="s">
        <v>170</v>
      </c>
    </row>
    <row r="163" spans="1:1" ht="15.75" thickBot="1">
      <c r="A163" s="43" t="s">
        <v>171</v>
      </c>
    </row>
    <row r="164" spans="1:1" ht="15.75" thickBot="1">
      <c r="A164" s="43" t="s">
        <v>172</v>
      </c>
    </row>
    <row r="165" spans="1:1" ht="15.75" thickBot="1">
      <c r="A165" s="43" t="s">
        <v>173</v>
      </c>
    </row>
    <row r="166" spans="1:1" ht="15.75" thickBot="1">
      <c r="A166" s="43" t="s">
        <v>174</v>
      </c>
    </row>
    <row r="167" spans="1:1" ht="15.75" thickBot="1">
      <c r="A167" s="43" t="s">
        <v>175</v>
      </c>
    </row>
    <row r="168" spans="1:1" ht="15.75" thickBot="1">
      <c r="A168" s="43" t="s">
        <v>176</v>
      </c>
    </row>
    <row r="169" spans="1:1" ht="15.75" thickBot="1">
      <c r="A169" s="43" t="s">
        <v>177</v>
      </c>
    </row>
    <row r="170" spans="1:1" ht="15.75" thickBot="1">
      <c r="A170" s="43" t="s">
        <v>178</v>
      </c>
    </row>
    <row r="171" spans="1:1" ht="15.75" thickBot="1">
      <c r="A171" s="43" t="s">
        <v>179</v>
      </c>
    </row>
    <row r="172" spans="1:1" ht="15.75" thickBot="1">
      <c r="A172" s="43" t="s">
        <v>180</v>
      </c>
    </row>
    <row r="173" spans="1:1" ht="15.75" thickBot="1">
      <c r="A173" s="43" t="s">
        <v>181</v>
      </c>
    </row>
    <row r="174" spans="1:1" ht="15.75" thickBot="1">
      <c r="A174" s="43" t="s">
        <v>182</v>
      </c>
    </row>
    <row r="175" spans="1:1" ht="15.75" thickBot="1">
      <c r="A175" s="43" t="s">
        <v>183</v>
      </c>
    </row>
    <row r="176" spans="1:1" ht="15.75" thickBot="1">
      <c r="A176" s="43" t="s">
        <v>184</v>
      </c>
    </row>
    <row r="177" spans="1:1" ht="15.75" thickBot="1">
      <c r="A177" s="43" t="s">
        <v>185</v>
      </c>
    </row>
    <row r="178" spans="1:1" ht="15.75" thickBot="1">
      <c r="A178" s="43" t="s">
        <v>186</v>
      </c>
    </row>
    <row r="179" spans="1:1" ht="15.75" thickBot="1">
      <c r="A179" s="43" t="s">
        <v>187</v>
      </c>
    </row>
    <row r="180" spans="1:1" ht="15.75" thickBot="1">
      <c r="A180" s="43" t="s">
        <v>188</v>
      </c>
    </row>
    <row r="181" spans="1:1" ht="15.75" thickBot="1">
      <c r="A181" s="43" t="s">
        <v>189</v>
      </c>
    </row>
    <row r="182" spans="1:1">
      <c r="A182" s="43" t="s">
        <v>190</v>
      </c>
    </row>
    <row r="183" spans="1:1" ht="15.75" thickBot="1">
      <c r="A183" s="44" t="s">
        <v>191</v>
      </c>
    </row>
    <row r="184" spans="1:1" ht="15.75" thickBot="1">
      <c r="A184" s="43" t="s">
        <v>192</v>
      </c>
    </row>
    <row r="185" spans="1:1" ht="15.75" thickBot="1">
      <c r="A185" s="43" t="s">
        <v>193</v>
      </c>
    </row>
    <row r="186" spans="1:1" ht="15.75" thickBot="1">
      <c r="A186" s="43" t="s">
        <v>194</v>
      </c>
    </row>
    <row r="187" spans="1:1">
      <c r="A187" s="43" t="s">
        <v>195</v>
      </c>
    </row>
    <row r="188" spans="1:1" ht="15.75" thickBot="1">
      <c r="A188" s="44" t="s">
        <v>196</v>
      </c>
    </row>
    <row r="189" spans="1:1" ht="15.75" thickBot="1">
      <c r="A189" s="43" t="s">
        <v>197</v>
      </c>
    </row>
    <row r="190" spans="1:1" ht="15.75" thickBot="1">
      <c r="A190" s="43" t="s">
        <v>198</v>
      </c>
    </row>
    <row r="191" spans="1:1" ht="15.75" thickBot="1">
      <c r="A191" s="43" t="s">
        <v>199</v>
      </c>
    </row>
    <row r="192" spans="1:1" ht="15.75" thickBot="1">
      <c r="A192" s="43" t="s">
        <v>200</v>
      </c>
    </row>
    <row r="193" spans="1:1" ht="15.7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.5" thickBot="1">
      <c r="A196" s="46" t="s">
        <v>204</v>
      </c>
    </row>
    <row r="197" spans="1:1" ht="15.75" thickBot="1">
      <c r="A197" s="45" t="s">
        <v>205</v>
      </c>
    </row>
    <row r="198" spans="1:1" ht="15.75" thickBot="1">
      <c r="A198" s="43" t="s">
        <v>206</v>
      </c>
    </row>
    <row r="199" spans="1:1" ht="15.75" thickBot="1">
      <c r="A199" s="43" t="s">
        <v>207</v>
      </c>
    </row>
    <row r="200" spans="1:1" ht="15.75" thickBot="1">
      <c r="A200" s="43" t="s">
        <v>208</v>
      </c>
    </row>
    <row r="201" spans="1:1" ht="15.75" thickBot="1">
      <c r="A201" s="43" t="s">
        <v>209</v>
      </c>
    </row>
    <row r="202" spans="1:1" ht="15.75" thickBot="1">
      <c r="A202" s="43" t="s">
        <v>210</v>
      </c>
    </row>
    <row r="203" spans="1:1" ht="15.75" thickBot="1">
      <c r="A203" s="43" t="s">
        <v>211</v>
      </c>
    </row>
    <row r="204" spans="1:1" ht="15.75" thickBot="1">
      <c r="A204" s="43" t="s">
        <v>212</v>
      </c>
    </row>
    <row r="205" spans="1:1" ht="15.75" thickBot="1">
      <c r="A205" s="43" t="s">
        <v>213</v>
      </c>
    </row>
    <row r="206" spans="1:1" ht="15.75" thickBot="1">
      <c r="A206" s="43" t="s">
        <v>214</v>
      </c>
    </row>
    <row r="207" spans="1:1" ht="15.75" thickBot="1">
      <c r="A207" s="43" t="s">
        <v>215</v>
      </c>
    </row>
    <row r="208" spans="1:1" ht="15.75" thickBot="1">
      <c r="A208" s="43" t="s">
        <v>216</v>
      </c>
    </row>
    <row r="209" spans="1:1" ht="15.75" thickBot="1">
      <c r="A209" s="43" t="s">
        <v>217</v>
      </c>
    </row>
    <row r="210" spans="1:1" ht="15.75" thickBot="1">
      <c r="A210" s="43" t="s">
        <v>218</v>
      </c>
    </row>
    <row r="211" spans="1:1" ht="15.75" thickBot="1">
      <c r="A211" s="43" t="s">
        <v>219</v>
      </c>
    </row>
    <row r="212" spans="1:1" ht="15.7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.5" thickBot="1">
      <c r="A215" s="46" t="s">
        <v>223</v>
      </c>
    </row>
    <row r="216" spans="1:1" ht="15.75" thickBot="1">
      <c r="A216" s="43" t="s">
        <v>224</v>
      </c>
    </row>
    <row r="217" spans="1:1" ht="15.75" thickBot="1">
      <c r="A217" s="43" t="s">
        <v>225</v>
      </c>
    </row>
    <row r="218" spans="1:1" ht="15.7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Unity Course Video Listing</vt:lpstr>
      <vt:lpstr>Orig Data</vt:lpstr>
      <vt:lpstr>'Unity Course Video Listing'!Print_Titles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</cp:lastModifiedBy>
  <cp:lastPrinted>2016-11-18T20:27:49Z</cp:lastPrinted>
  <dcterms:created xsi:type="dcterms:W3CDTF">2016-11-18T06:27:59Z</dcterms:created>
  <dcterms:modified xsi:type="dcterms:W3CDTF">2017-02-22T00:22:28Z</dcterms:modified>
</cp:coreProperties>
</file>