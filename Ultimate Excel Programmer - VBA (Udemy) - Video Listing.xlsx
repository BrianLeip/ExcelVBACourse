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autoCompressPictures="0" defaultThemeVersion="124226"/>
  <bookViews>
    <workbookView xWindow="615" yWindow="225" windowWidth="22425" windowHeight="14745"/>
  </bookViews>
  <sheets>
    <sheet name="Unity Course Video Listing" sheetId="1" r:id="rId1"/>
    <sheet name="Orig Data" sheetId="4" state="hidden" r:id="rId2"/>
  </sheets>
  <definedNames>
    <definedName name="_xlnm.Print_Titles" localSheetId="0">'Unity Course Video Listing'!$3:$3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94" i="1" l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G4" i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6" i="1"/>
  <c r="J6" i="1" s="1"/>
  <c r="I5" i="1"/>
  <c r="J5" i="1" s="1"/>
  <c r="E195" i="1"/>
  <c r="E194" i="1"/>
  <c r="E193" i="1"/>
  <c r="D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D192" i="1"/>
  <c r="D117" i="1"/>
  <c r="D102" i="1"/>
  <c r="D77" i="1"/>
  <c r="D54" i="1"/>
  <c r="D44" i="1"/>
  <c r="D35" i="1"/>
  <c r="D28" i="1"/>
  <c r="D17" i="1"/>
  <c r="D4" i="1"/>
  <c r="D135" i="1"/>
  <c r="D136" i="1" s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C197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C198" i="1"/>
  <c r="D193" i="1"/>
  <c r="G192" i="1"/>
  <c r="D175" i="1"/>
  <c r="G174" i="1"/>
  <c r="G135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18" i="1"/>
  <c r="E19" i="1"/>
  <c r="E20" i="1"/>
  <c r="E21" i="1"/>
  <c r="E22" i="1"/>
  <c r="E23" i="1"/>
  <c r="E24" i="1"/>
  <c r="E25" i="1"/>
  <c r="E26" i="1"/>
  <c r="E27" i="1"/>
  <c r="G17" i="1"/>
  <c r="G28" i="1"/>
  <c r="G35" i="1"/>
  <c r="G44" i="1"/>
  <c r="G54" i="1"/>
  <c r="G77" i="1"/>
  <c r="G102" i="1"/>
  <c r="G117" i="1"/>
  <c r="E5" i="1"/>
  <c r="E6" i="1"/>
  <c r="E7" i="1"/>
  <c r="E8" i="1"/>
  <c r="E9" i="1"/>
  <c r="E10" i="1"/>
  <c r="E11" i="1"/>
  <c r="E12" i="1"/>
  <c r="E13" i="1"/>
  <c r="E14" i="1"/>
  <c r="E15" i="1"/>
  <c r="E16" i="1"/>
  <c r="I7" i="1"/>
  <c r="J7" i="1" s="1"/>
  <c r="D55" i="1"/>
  <c r="E36" i="1"/>
  <c r="E37" i="1"/>
  <c r="E38" i="1"/>
  <c r="E39" i="1"/>
  <c r="E40" i="1"/>
  <c r="E41" i="1"/>
  <c r="E42" i="1"/>
  <c r="E43" i="1"/>
  <c r="E29" i="1"/>
  <c r="E30" i="1"/>
  <c r="E31" i="1"/>
  <c r="E32" i="1"/>
  <c r="E33" i="1"/>
  <c r="E34" i="1"/>
  <c r="D118" i="1"/>
  <c r="E45" i="1"/>
  <c r="E46" i="1"/>
  <c r="E47" i="1"/>
  <c r="E48" i="1"/>
  <c r="E49" i="1"/>
  <c r="E50" i="1"/>
  <c r="E51" i="1"/>
  <c r="E52" i="1"/>
  <c r="E53" i="1"/>
  <c r="D36" i="1"/>
  <c r="D5" i="1"/>
  <c r="D18" i="1"/>
  <c r="D29" i="1"/>
  <c r="D103" i="1"/>
  <c r="D78" i="1"/>
  <c r="D45" i="1"/>
  <c r="E136" i="1" l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G1" i="1"/>
  <c r="G2" i="1" s="1"/>
  <c r="F1" i="1"/>
  <c r="H1" i="1" s="1"/>
  <c r="I116" i="1" l="1"/>
  <c r="J116" i="1" s="1"/>
  <c r="I195" i="1"/>
  <c r="J195" i="1" s="1"/>
  <c r="I163" i="1"/>
  <c r="J163" i="1" s="1"/>
  <c r="I152" i="1"/>
  <c r="J152" i="1" s="1"/>
  <c r="I173" i="1"/>
  <c r="J173" i="1" s="1"/>
  <c r="I184" i="1"/>
  <c r="J184" i="1" s="1"/>
  <c r="I76" i="1"/>
  <c r="J76" i="1" s="1"/>
  <c r="I93" i="1"/>
  <c r="J93" i="1" s="1"/>
  <c r="I43" i="1"/>
  <c r="J43" i="1" s="1"/>
  <c r="I62" i="1"/>
  <c r="J62" i="1" s="1"/>
  <c r="I151" i="1"/>
  <c r="J151" i="1" s="1"/>
  <c r="I16" i="1"/>
  <c r="J16" i="1" s="1"/>
  <c r="I134" i="1"/>
  <c r="J134" i="1" s="1"/>
</calcChain>
</file>

<file path=xl/comments1.xml><?xml version="1.0" encoding="utf-8"?>
<comments xmlns="http://schemas.openxmlformats.org/spreadsheetml/2006/main">
  <authors>
    <author>Brian</author>
  </authors>
  <commentList>
    <comment ref="C16" authorId="0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C27" authorId="0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C34" authorId="0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C43" authorId="0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C53" authorId="0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C76" authorId="0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C101" authorId="0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C116" authorId="0">
      <text>
        <r>
          <rPr>
            <b/>
            <sz val="9"/>
            <color indexed="81"/>
            <rFont val="Tahoma"/>
            <family val="2"/>
          </rPr>
          <t>Brian: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</commentList>
</comments>
</file>

<file path=xl/sharedStrings.xml><?xml version="1.0" encoding="utf-8"?>
<sst xmlns="http://schemas.openxmlformats.org/spreadsheetml/2006/main" count="423" uniqueCount="250">
  <si>
    <t>VIDEO NAME</t>
  </si>
  <si>
    <t>MINUTES</t>
  </si>
  <si>
    <t>% OF SECTION</t>
  </si>
  <si>
    <t>% OF TOTAL</t>
  </si>
  <si>
    <t>COMPLETED</t>
  </si>
  <si>
    <t>Course Progress (in min)</t>
  </si>
  <si>
    <t>SECTION TOTALS</t>
  </si>
  <si>
    <t>TARGET DATE</t>
  </si>
  <si>
    <t>TOTAL MINUTES</t>
  </si>
  <si>
    <t>TOTAL HOURS</t>
  </si>
  <si>
    <r>
      <t>Section: 1</t>
    </r>
    <r>
      <rPr>
        <b/>
        <sz val="11"/>
        <color rgb="FF1376D7"/>
        <rFont val="Calibri"/>
        <family val="2"/>
        <scheme val="minor"/>
      </rPr>
      <t>1 </t>
    </r>
    <r>
      <rPr>
        <sz val="11"/>
        <color rgb="FF1376D7"/>
        <rFont val="Calibri"/>
        <family val="2"/>
        <scheme val="minor"/>
      </rPr>
      <t>/ 12</t>
    </r>
  </si>
  <si>
    <t>The Range Object</t>
  </si>
  <si>
    <t>1. Intro and Course Workbooks download11:37</t>
  </si>
  <si>
    <t> Workbooks20download.zipdl0</t>
  </si>
  <si>
    <t> Workbooks Download</t>
  </si>
  <si>
    <t> User Defined Functions.zip</t>
  </si>
  <si>
    <t>2. Get the Developer Tab and Intro to Developer Tab1:30</t>
  </si>
  <si>
    <t>3. Getting started with Range object1:20</t>
  </si>
  <si>
    <t>4. Creating Your First Macro From Scratch2:29</t>
  </si>
  <si>
    <t>5. Adding a Secondary Command. . .0:52</t>
  </si>
  <si>
    <t>6. Debugging in Excel VBA1:23</t>
  </si>
  <si>
    <t>7. Saving a Macro-Enabled Workbook (.xlsm)1:11</t>
  </si>
  <si>
    <t>8. Several Ways to trigger your Macro1:24</t>
  </si>
  <si>
    <t>9. Affecting Multiple Cells with One Range Command - 2 Methods1:35</t>
  </si>
  <si>
    <t>10. Adding Strings of Text to a Cell1:40</t>
  </si>
  <si>
    <t>11. Using a Named Range with the Range Object1:37</t>
  </si>
  <si>
    <t>Quiz 1: Range Object Quiz0:00</t>
  </si>
  <si>
    <r>
      <t>Section: 2</t>
    </r>
    <r>
      <rPr>
        <sz val="11"/>
        <color rgb="FF1376D7"/>
        <rFont val="Calibri"/>
        <family val="2"/>
        <scheme val="minor"/>
      </rPr>
      <t>0 / 10</t>
    </r>
  </si>
  <si>
    <t>Range Properties</t>
  </si>
  <si>
    <t>12. .VALUE Property1:54</t>
  </si>
  <si>
    <t>13. .TEXT Property1:00</t>
  </si>
  <si>
    <t>14. .ROW and .COLUMN Properties1:07</t>
  </si>
  <si>
    <t>15. .SELECT Property0:55</t>
  </si>
  <si>
    <t>16. .COUNT Property1:47</t>
  </si>
  <si>
    <t>17. .ADDRESS Property1:48</t>
  </si>
  <si>
    <t>18. .FORMULA Property3:47</t>
  </si>
  <si>
    <t>19. .NUMBERFORMAT Property2:27</t>
  </si>
  <si>
    <t>20. FONT.BOLD, UNDERLINE or ITALIC Properties2:44</t>
  </si>
  <si>
    <t>Quiz 2: Properties Quiz0:00</t>
  </si>
  <si>
    <r>
      <t>Section: 3</t>
    </r>
    <r>
      <rPr>
        <sz val="11"/>
        <color rgb="FF1376D7"/>
        <rFont val="Calibri"/>
        <family val="2"/>
        <scheme val="minor"/>
      </rPr>
      <t>0 / 6</t>
    </r>
  </si>
  <si>
    <t>The Cells Object</t>
  </si>
  <si>
    <t>21. The Cells Object2:24</t>
  </si>
  <si>
    <t>22. Using Column Letters instead of Numbers0:55</t>
  </si>
  <si>
    <t>23. Using Cells Positionally within a Range2:10</t>
  </si>
  <si>
    <t>24. Affecting ALL Cells in a Worksheet2:05</t>
  </si>
  <si>
    <t>25. Using Range Object with Cells Object3:01</t>
  </si>
  <si>
    <t>Quiz 3: Cells Quiz0:00</t>
  </si>
  <si>
    <r>
      <t>Section: 4</t>
    </r>
    <r>
      <rPr>
        <sz val="11"/>
        <color rgb="FF1376D7"/>
        <rFont val="Calibri"/>
        <family val="2"/>
        <scheme val="minor"/>
      </rPr>
      <t>0 / 8</t>
    </r>
  </si>
  <si>
    <t>Variables</t>
  </si>
  <si>
    <t>26. Intro to Variables2:24</t>
  </si>
  <si>
    <t> How To Use Variables In Excel Sub Procedures In Visual Basic For Applications</t>
  </si>
  <si>
    <t>27. Declaring Variables - Variable Types2:37</t>
  </si>
  <si>
    <t>28. Declaring Variables - Types Demo4:25</t>
  </si>
  <si>
    <t>29. Calling a Procedure from Another1:57</t>
  </si>
  <si>
    <t>30. Public and Private Variables3:06</t>
  </si>
  <si>
    <t>31. Using Constants2:02</t>
  </si>
  <si>
    <t>32. BONUS! Passing Variables to Another Procedure - ByVal and ByRef7:05</t>
  </si>
  <si>
    <t> Passing Variables ByRef and ByVal.xlsm</t>
  </si>
  <si>
    <t>Quiz 4: Variables Quiz0:00</t>
  </si>
  <si>
    <r>
      <t>Section: 5</t>
    </r>
    <r>
      <rPr>
        <sz val="11"/>
        <color rgb="FF1376D7"/>
        <rFont val="Calibri"/>
        <family val="2"/>
        <scheme val="minor"/>
      </rPr>
      <t>0 / 9</t>
    </r>
  </si>
  <si>
    <t>Toolbars and Menus</t>
  </si>
  <si>
    <t>33. File Menu walkthrough1:52</t>
  </si>
  <si>
    <t>34. Edit Menu walkthrough5:08</t>
  </si>
  <si>
    <t>35. View Menu walkthrough2:12</t>
  </si>
  <si>
    <t>36. View Menu2 - Watch Window, Locals Window and Immediate Window7:43</t>
  </si>
  <si>
    <t>37. Watch Window Wonders!3:25</t>
  </si>
  <si>
    <t>38. Insert and Format Menus0:40</t>
  </si>
  <si>
    <t>39. Debug Menu (Important!)5:12</t>
  </si>
  <si>
    <t>40. Run and Tools Menus2:13</t>
  </si>
  <si>
    <t>Quiz 5: Toolbars Quiz0:00</t>
  </si>
  <si>
    <r>
      <t>Section: 6</t>
    </r>
    <r>
      <rPr>
        <sz val="11"/>
        <color rgb="FF1376D7"/>
        <rFont val="Calibri"/>
        <family val="2"/>
        <scheme val="minor"/>
      </rPr>
      <t>0 / 22</t>
    </r>
  </si>
  <si>
    <t>Super Important Tools and Excel Logic</t>
  </si>
  <si>
    <t>41. Determining the Last Row in your Data Set3:17</t>
  </si>
  <si>
    <t>42. Determining the Last Column in your Data Set2:23</t>
  </si>
  <si>
    <t>43. Determining the Next Row in your Data Set1:06</t>
  </si>
  <si>
    <t>44. Recording a Macro3:39</t>
  </si>
  <si>
    <t>45. BONUS! - Dynamic Sorting!5:54</t>
  </si>
  <si>
    <t> 06 BONUS Dynamic Sorting</t>
  </si>
  <si>
    <t>46. Absolute vs Relative References4:07</t>
  </si>
  <si>
    <t>47. Using With and End With3:32</t>
  </si>
  <si>
    <t>48. Comparison Operators in Excel VBA1:01</t>
  </si>
  <si>
    <t> Comparison Operators In Excel VBA</t>
  </si>
  <si>
    <t>49. If Then Statement2:25</t>
  </si>
  <si>
    <t>50. Using Is Not Equal To (&lt;&gt;)0:41</t>
  </si>
  <si>
    <t>51. Logical Operator, NOT0:56</t>
  </si>
  <si>
    <t>52. If, Then, Else Statement1:22</t>
  </si>
  <si>
    <t>53. If, Then, ElseIF Statement. . .2:02</t>
  </si>
  <si>
    <t>54. Comparitive Operators with Text and Numbers!2:35</t>
  </si>
  <si>
    <t>55. Use If Then Statements in a One-Liner of code1:42</t>
  </si>
  <si>
    <t>56. Using GOTO and Labels1:52</t>
  </si>
  <si>
    <t>57. Select Case as Alternative to IF THEN Statements2:21</t>
  </si>
  <si>
    <t>58. Message Box with Yes and No Buttons6:27</t>
  </si>
  <si>
    <t>59. Relative Positioning using Offset4:13</t>
  </si>
  <si>
    <t>60. BONUS - User Defined Functions 1015:03</t>
  </si>
  <si>
    <t>61. BONUS - UDF Lesson 24:31</t>
  </si>
  <si>
    <t>Quiz 6: Super Important Info Quiz0:00</t>
  </si>
  <si>
    <r>
      <t>Section: 7</t>
    </r>
    <r>
      <rPr>
        <sz val="11"/>
        <color rgb="FF1376D7"/>
        <rFont val="Calibri"/>
        <family val="2"/>
        <scheme val="minor"/>
      </rPr>
      <t>0 / 24</t>
    </r>
  </si>
  <si>
    <t>Loops and Report Writing Basics</t>
  </si>
  <si>
    <t>62. Intro to Loops; the For Next Loop3:07</t>
  </si>
  <si>
    <t>63. Fun with our For Next Loop3:46</t>
  </si>
  <si>
    <t>64. Beginning our first Report using Loops5:46</t>
  </si>
  <si>
    <t>65. Using an InputBox2:53</t>
  </si>
  <si>
    <t>66. Adding InputBox to Our First Report to make it Dynamic3:12</t>
  </si>
  <si>
    <t>67. Add a Button to Open Our Report2:23</t>
  </si>
  <si>
    <t>68. Add a Cool Looking Button or Image to Open Report2:19</t>
  </si>
  <si>
    <t>69. Our First Printable Report part 1 - Declaring and Setting the Sheets5:00</t>
  </si>
  <si>
    <t>70. Printable Report Part 2 - Getting Items On Report Sheet6:41</t>
  </si>
  <si>
    <t>71. Printable Report Part 3 - Clearing Last Report3:19</t>
  </si>
  <si>
    <t>72. Printable Report Part 4 - Ensuring Visibility and Autoselect Report Sheet3:34</t>
  </si>
  <si>
    <t>73. Using PrintPreview Automatically0:50</t>
  </si>
  <si>
    <t>74. Using PrintOut to Send Directly to Default Printer1:59</t>
  </si>
  <si>
    <t>75. Handling Debug Error When Cancelling InputBox2:18</t>
  </si>
  <si>
    <t>76. For Loop Going Backwards using STEP2:49</t>
  </si>
  <si>
    <t>77. The FOR EACH Loop5:17</t>
  </si>
  <si>
    <t>78. FOR EACH Loop - Practical Examples3:30</t>
  </si>
  <si>
    <t>79. Intro to DO LOOPS3:26</t>
  </si>
  <si>
    <t>80. DO Until1:53</t>
  </si>
  <si>
    <t>81. Loop Until1:31</t>
  </si>
  <si>
    <t>82. DO While1:43</t>
  </si>
  <si>
    <t>83. Loop While0:58</t>
  </si>
  <si>
    <t>84. EXIT DO - Multiple Exits using your own Criteria along the Way!1:48</t>
  </si>
  <si>
    <t>Quiz 7: Loops and Reports Quiz0:00</t>
  </si>
  <si>
    <r>
      <t>Section: 8</t>
    </r>
    <r>
      <rPr>
        <sz val="11"/>
        <color rgb="FF1376D7"/>
        <rFont val="Calibri"/>
        <family val="2"/>
        <scheme val="minor"/>
      </rPr>
      <t>0 / 14</t>
    </r>
  </si>
  <si>
    <t>EVENTS: Worksheet Events made Easy</t>
  </si>
  <si>
    <t>85. Intro to Worksheet Events and Selection_Change4:03</t>
  </si>
  <si>
    <t>86. Worksheet Activate Event1:14</t>
  </si>
  <si>
    <t>87. Worksheet Deactivate Event2:29</t>
  </si>
  <si>
    <t>88. BeforeDelete Event - for Worksheet Deletion1:05</t>
  </si>
  <si>
    <t>89. BeforeDoubleClick Event - Trigger a Macro when Double Clicking2:59</t>
  </si>
  <si>
    <t>90. BeforeRightClick Event - Trigger a Macro when Right-Clicking1:43</t>
  </si>
  <si>
    <t>91. Calculate Event2:33</t>
  </si>
  <si>
    <t>92. How to Disable Events on the Workbook1:32</t>
  </si>
  <si>
    <t>93. Intro to Change Event1:14</t>
  </si>
  <si>
    <t>94. Change Event with EnableEvents toggle - Avoid endless loop!4:51</t>
  </si>
  <si>
    <t>95. Change Event Triggered with Custom Range Using Intersect3:19</t>
  </si>
  <si>
    <t>96. FollowHyperlinks Event2:41</t>
  </si>
  <si>
    <t>97. Final Thoughts on Worksheet Events and Review Other Events2:25</t>
  </si>
  <si>
    <t>Quiz 8: Worksheet Events Quiz0:00</t>
  </si>
  <si>
    <r>
      <t>Section: 9</t>
    </r>
    <r>
      <rPr>
        <sz val="11"/>
        <color rgb="FF1376D7"/>
        <rFont val="Calibri"/>
        <family val="2"/>
        <scheme val="minor"/>
      </rPr>
      <t>0 / 17</t>
    </r>
  </si>
  <si>
    <t>WorkBook Events</t>
  </si>
  <si>
    <t>98. Workbook Open5:13</t>
  </si>
  <si>
    <t>99. Workbook Activate1:53</t>
  </si>
  <si>
    <t>100. Before Save2:25</t>
  </si>
  <si>
    <t>101. After Save2:13</t>
  </si>
  <si>
    <t>102. Before Close3:33</t>
  </si>
  <si>
    <t>103. Before Print1:21</t>
  </si>
  <si>
    <t>104. Deactivate1:06</t>
  </si>
  <si>
    <t>105. NewChart3:13</t>
  </si>
  <si>
    <t>106. NewSheet1:51</t>
  </si>
  <si>
    <t>107. Sheet Activate2:19</t>
  </si>
  <si>
    <t>108. Delete, DoubleClick, RightClick, Calculate, Change4:51</t>
  </si>
  <si>
    <t>109. SheetDeactivate2:49</t>
  </si>
  <si>
    <t>110. Follow Hyperlink0:44</t>
  </si>
  <si>
    <t>111. SheetSelectionChange0:42</t>
  </si>
  <si>
    <t>112. WindowActivate1:09</t>
  </si>
  <si>
    <t>113. WindowDeactivate0:25</t>
  </si>
  <si>
    <t>114. WindowResize2:03</t>
  </si>
  <si>
    <r>
      <t>Section: 10</t>
    </r>
    <r>
      <rPr>
        <sz val="11"/>
        <color rgb="FF1376D7"/>
        <rFont val="Calibri"/>
        <family val="2"/>
        <scheme val="minor"/>
      </rPr>
      <t>0 / 38</t>
    </r>
  </si>
  <si>
    <t>Activex Controls on Worksheets</t>
  </si>
  <si>
    <t>115. Activex Controls vs Forms Controls3:36</t>
  </si>
  <si>
    <t>116. Button Click - Wage Calculator4:10</t>
  </si>
  <si>
    <t>117. Keydown Event4:18</t>
  </si>
  <si>
    <t> Key Code Constants Used With Key Down Events</t>
  </si>
  <si>
    <t>118. BONUS: Capturing Shift, Alt, Ctrl or some combination using the Shift variable3:19</t>
  </si>
  <si>
    <t> KeyDown, KeyUp Events</t>
  </si>
  <si>
    <t>119. KeyPress Event2:53</t>
  </si>
  <si>
    <t> Ascii Table</t>
  </si>
  <si>
    <t>120. MouseMove Event2:08</t>
  </si>
  <si>
    <t>121. MouseMove Event with Application.Statusbar - fun and useful3:44</t>
  </si>
  <si>
    <t>122. MouseUp and MouseDown Events - Left, Middle, &amp; Rightclick, Shift, Alt &amp; Ctrl6:28</t>
  </si>
  <si>
    <t> Mouse Down Event [ Excel VBA Language Reference ]</t>
  </si>
  <si>
    <t>123. GotFocus and LostFocus Events1:09</t>
  </si>
  <si>
    <t>124. Use a Checkbox for its VALUE2:41</t>
  </si>
  <si>
    <t>125. Checkbox Event Without a Button1:58</t>
  </si>
  <si>
    <t>126. LinkedCell Property with a Checkbox1:59</t>
  </si>
  <si>
    <t>127. Option Buttons Intro - What is an Option Button and Grouping3:08</t>
  </si>
  <si>
    <t>128. Grouping, Alignment and Aesthetics for Controls2:45</t>
  </si>
  <si>
    <t>129. Homemade Quiz using Option Buttons and a Command Button4:37</t>
  </si>
  <si>
    <t>130. Compliance Checker for your Forms or Quizzes Part 13:36</t>
  </si>
  <si>
    <t>131. Compliance check part 29:50</t>
  </si>
  <si>
    <t>132. SpinButton with Cell A14:21</t>
  </si>
  <si>
    <t>133. SpinButtons with Textboxes and Numbers6:04</t>
  </si>
  <si>
    <t>134. SpinButton BONUS - Move Textbox Position with SpinButton3:55</t>
  </si>
  <si>
    <t>135. SpinButton with Dates in a Textbox3:31</t>
  </si>
  <si>
    <t>136. Activex "Label" Control - Basics3:50</t>
  </si>
  <si>
    <t>137. ComboBox - Fill with ListFillRange3:34</t>
  </si>
  <si>
    <t>138. Creating a Dynamic Range4:47</t>
  </si>
  <si>
    <t>139. ComboBox - How to use Multiple Columns3:09</t>
  </si>
  <si>
    <t>140. Using .ADDITEM to Get Specific items in your Combobox List9:25</t>
  </si>
  <si>
    <t>141. Noteworthy Properties of a Combobox5:38</t>
  </si>
  <si>
    <t>142. Multiple Columns in Combobox with .ADDITEM and List, ListCount etc7:16</t>
  </si>
  <si>
    <t> List Box Combobox LIST Principles</t>
  </si>
  <si>
    <t>143. ListBox Basics using Dynamic Range7:47</t>
  </si>
  <si>
    <t>144. Listbox Click event and Dynamic Options3:26</t>
  </si>
  <si>
    <t>145. BONUS - Manipulating and Using Multiselect Items in a Listbox6:04</t>
  </si>
  <si>
    <t>146. ListBox - Referencing Column 0 and 1 in a cell Dynamically!3:32</t>
  </si>
  <si>
    <t> Additional List Index And List Info</t>
  </si>
  <si>
    <t>147. Dynamic ListBoxes Using .ADDITEM and More9:37</t>
  </si>
  <si>
    <t>148. Make and Utilize INVISIBLE Columns - Special Trick!3:35</t>
  </si>
  <si>
    <t>149. Using a Scroll Bar on a worksheet3:29</t>
  </si>
  <si>
    <t>150. Pictures on a Worksheet, plus using FollowHyperlink Method5:52</t>
  </si>
  <si>
    <t>151. Toggle Button2:24</t>
  </si>
  <si>
    <t>152. A Brief Note on Alternate, 3rd Party Controls1:34</t>
  </si>
  <si>
    <r>
      <t>Section: 11</t>
    </r>
    <r>
      <rPr>
        <sz val="11"/>
        <color rgb="FF1376D7"/>
        <rFont val="Calibri"/>
        <family val="2"/>
        <scheme val="minor"/>
      </rPr>
      <t>0 / 17</t>
    </r>
  </si>
  <si>
    <t>Userforms - the best thing. EVER.</t>
  </si>
  <si>
    <t>153. Userform - Hide, Show and Unload5:28</t>
  </si>
  <si>
    <t>154. Sample Database and Creating a Data Entry Form6:16</t>
  </si>
  <si>
    <t>155. Fill Status combobox with Rowsource when Userform starts - 2 methods4:03</t>
  </si>
  <si>
    <t>156. New Employee Data Entry Form!9:04</t>
  </si>
  <si>
    <t>157. Format Textbox Numbers as Numerals, Clearing out Form upon Submission3:13</t>
  </si>
  <si>
    <t>158. Set the Tab Order for Userform Controls2:10</t>
  </si>
  <si>
    <t>159. Set Default Values to Make Data Entry Easier2:18</t>
  </si>
  <si>
    <t>160. Avoid Duplicate Employee ID and other Fun Automation Tricks5:37</t>
  </si>
  <si>
    <t>161. Edit Mode for Employee Database - Part 111:26</t>
  </si>
  <si>
    <t>162. Edit Mode for Employee Database - Part 27:49</t>
  </si>
  <si>
    <t>163. Edit Mode Pt 3 - Adding Automation and Save Button15:56</t>
  </si>
  <si>
    <t>164. Userform Report with Filters - Part 111:09</t>
  </si>
  <si>
    <t>165. Userform Report with Filters - Part 26:03</t>
  </si>
  <si>
    <t>166. Applying the Dynamic Filters to Reports3:11</t>
  </si>
  <si>
    <t>167. Clear out Last Report3:06</t>
  </si>
  <si>
    <t>168. Report Generation and Aesthetics, Headers, Footers, Repeat Rows etc.6:05</t>
  </si>
  <si>
    <t>169. Concluding Thoughts. . .2:57</t>
  </si>
  <si>
    <r>
      <t>Section: 12</t>
    </r>
    <r>
      <rPr>
        <sz val="11"/>
        <color rgb="FF1376D7"/>
        <rFont val="Calibri"/>
        <family val="2"/>
        <scheme val="minor"/>
      </rPr>
      <t>0 / 4</t>
    </r>
  </si>
  <si>
    <t>BONUS Section - VBA Functions</t>
  </si>
  <si>
    <t>170. InStr Function - Search for Text Within Other Text7:18</t>
  </si>
  <si>
    <t>171. The EVALUATE Function - Mac-Daddy of all functions5:59</t>
  </si>
  <si>
    <t>172. Sum Function in Excel VBA - EASY!3:14</t>
  </si>
  <si>
    <t>173. Count Function in VBA2:13</t>
  </si>
  <si>
    <t>The Ultimate Excel Programmer Course - VBA (Udemy)</t>
  </si>
  <si>
    <t>Original course list downloaded 12/18/2016</t>
  </si>
  <si>
    <t>S1:  The Range Object</t>
  </si>
  <si>
    <t>S2: Range Properties</t>
  </si>
  <si>
    <t>S3: The Cells Object</t>
  </si>
  <si>
    <t>S4:  Variables</t>
  </si>
  <si>
    <t>S5:  Toolbars and Menus</t>
  </si>
  <si>
    <t>S6:  Super Important Tools and Excel Logic</t>
  </si>
  <si>
    <t>S7:  Loops and Report Writing Basics</t>
  </si>
  <si>
    <t>S8:  EVENTS - Worksheet Events Made Easy</t>
  </si>
  <si>
    <t>S9:  Workbook Events</t>
  </si>
  <si>
    <t>S10:  ActiveX Controlls on Worksheets</t>
  </si>
  <si>
    <t>S11:  User Forms - The Best Thing EVER</t>
  </si>
  <si>
    <t>S12:  Bonus Section - VBA Functions</t>
  </si>
  <si>
    <t>60. BONUS - User Defined Functions 101   5:03</t>
  </si>
  <si>
    <t>132. SpinButton with Cell A1   4:21</t>
  </si>
  <si>
    <t>161. Edit Mode for Employee Database - Part 1   11:26</t>
  </si>
  <si>
    <t>162. Edit Mode for Employee Database - Part 2   7:49</t>
  </si>
  <si>
    <t>164. Userform Report with Filters - Part 1   11:09</t>
  </si>
  <si>
    <t>165. Userform Report with Filters - Part 2   6:03</t>
  </si>
  <si>
    <t>131. Compliance check part 2   9:50</t>
  </si>
  <si>
    <t>130. Compliance Checker for your Forms or Quizzes Part 1   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</si>
</sst>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19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4"/>
      <color rgb="FF1376D7"/>
      <name val="Arial"/>
      <family val="2"/>
    </font>
    <font>
      <sz val="11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6"/>
      <name val="Helvetica Neue"/>
    </font>
    <font>
      <sz val="11"/>
      <color theme="6" tint="0.5999938962981048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1376D7"/>
      <name val="Calibri"/>
      <family val="2"/>
      <scheme val="minor"/>
    </font>
    <font>
      <sz val="10"/>
      <color rgb="FF1376D7"/>
      <name val="Calibri"/>
      <family val="2"/>
      <scheme val="minor"/>
    </font>
    <font>
      <b/>
      <sz val="11"/>
      <color rgb="FF1376D7"/>
      <name val="Calibri"/>
      <family val="2"/>
      <scheme val="minor"/>
    </font>
    <font>
      <sz val="14"/>
      <color rgb="FF1376D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F4F4F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8">
    <xf numFmtId="0" fontId="0" fillId="0" borderId="0"/>
    <xf numFmtId="9" fontId="4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2" xfId="0" applyFont="1" applyBorder="1" applyAlignment="1">
      <alignment horizontal="left" vertical="center" indent="1"/>
    </xf>
    <xf numFmtId="0" fontId="6" fillId="0" borderId="0" xfId="0" applyFont="1"/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 wrapText="1"/>
    </xf>
    <xf numFmtId="164" fontId="5" fillId="0" borderId="0" xfId="1" applyNumberFormat="1" applyFont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0" fillId="0" borderId="0" xfId="0" applyAlignment="1">
      <alignment horizontal="center"/>
    </xf>
    <xf numFmtId="3" fontId="5" fillId="0" borderId="0" xfId="0" applyNumberFormat="1" applyFont="1" applyAlignment="1">
      <alignment horizontal="center"/>
    </xf>
    <xf numFmtId="14" fontId="5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164" fontId="4" fillId="0" borderId="10" xfId="1" applyNumberFormat="1" applyFont="1" applyBorder="1" applyAlignment="1">
      <alignment horizontal="center"/>
    </xf>
    <xf numFmtId="0" fontId="1" fillId="0" borderId="5" xfId="0" applyFont="1" applyBorder="1" applyAlignment="1">
      <alignment horizontal="left" vertical="center" indent="1"/>
    </xf>
    <xf numFmtId="0" fontId="0" fillId="4" borderId="0" xfId="0" applyFill="1"/>
    <xf numFmtId="3" fontId="5" fillId="5" borderId="3" xfId="0" applyNumberFormat="1" applyFont="1" applyFill="1" applyBorder="1" applyAlignment="1">
      <alignment horizontal="center"/>
    </xf>
    <xf numFmtId="165" fontId="5" fillId="5" borderId="3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 vertical="center" indent="1"/>
    </xf>
    <xf numFmtId="0" fontId="0" fillId="0" borderId="6" xfId="0" applyBorder="1" applyAlignment="1">
      <alignment horizontal="center"/>
    </xf>
    <xf numFmtId="165" fontId="5" fillId="5" borderId="11" xfId="0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left" vertical="center" indent="2"/>
    </xf>
    <xf numFmtId="0" fontId="0" fillId="5" borderId="8" xfId="0" applyFill="1" applyBorder="1" applyAlignment="1">
      <alignment horizontal="center"/>
    </xf>
    <xf numFmtId="0" fontId="0" fillId="5" borderId="8" xfId="0" applyFill="1" applyBorder="1"/>
    <xf numFmtId="0" fontId="9" fillId="5" borderId="7" xfId="0" applyFont="1" applyFill="1" applyBorder="1"/>
    <xf numFmtId="164" fontId="10" fillId="5" borderId="8" xfId="0" applyNumberFormat="1" applyFont="1" applyFill="1" applyBorder="1"/>
    <xf numFmtId="14" fontId="4" fillId="2" borderId="5" xfId="0" applyNumberFormat="1" applyFont="1" applyFill="1" applyBorder="1" applyAlignment="1" applyProtection="1">
      <alignment horizontal="center"/>
      <protection locked="0"/>
    </xf>
    <xf numFmtId="3" fontId="5" fillId="5" borderId="7" xfId="0" applyNumberFormat="1" applyFont="1" applyFill="1" applyBorder="1" applyAlignment="1">
      <alignment horizontal="center"/>
    </xf>
    <xf numFmtId="3" fontId="5" fillId="5" borderId="8" xfId="0" applyNumberFormat="1" applyFont="1" applyFill="1" applyBorder="1" applyAlignment="1">
      <alignment horizontal="center"/>
    </xf>
    <xf numFmtId="164" fontId="7" fillId="5" borderId="8" xfId="1" applyNumberFormat="1" applyFont="1" applyFill="1" applyBorder="1" applyAlignment="1">
      <alignment horizontal="right"/>
    </xf>
    <xf numFmtId="3" fontId="7" fillId="5" borderId="8" xfId="0" applyNumberFormat="1" applyFont="1" applyFill="1" applyBorder="1" applyAlignment="1">
      <alignment horizontal="center"/>
    </xf>
    <xf numFmtId="3" fontId="7" fillId="5" borderId="12" xfId="0" applyNumberFormat="1" applyFont="1" applyFill="1" applyBorder="1" applyAlignment="1">
      <alignment horizontal="center"/>
    </xf>
    <xf numFmtId="164" fontId="7" fillId="5" borderId="3" xfId="1" applyNumberFormat="1" applyFont="1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5" fillId="0" borderId="0" xfId="0" applyFont="1" applyAlignment="1">
      <alignment horizontal="right"/>
    </xf>
    <xf numFmtId="3" fontId="5" fillId="0" borderId="4" xfId="0" applyNumberFormat="1" applyFont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6" fillId="0" borderId="0" xfId="0" applyFont="1" applyAlignment="1">
      <alignment horizontal="left" vertical="center" indent="2"/>
    </xf>
    <xf numFmtId="0" fontId="0" fillId="0" borderId="2" xfId="0" applyBorder="1" applyAlignment="1">
      <alignment horizontal="left" vertical="center" indent="1"/>
    </xf>
    <xf numFmtId="0" fontId="15" fillId="0" borderId="0" xfId="0" applyFont="1" applyAlignment="1">
      <alignment horizontal="left" vertical="center" indent="2"/>
    </xf>
    <xf numFmtId="0" fontId="0" fillId="0" borderId="1" xfId="0" applyBorder="1" applyAlignment="1">
      <alignment horizontal="left" vertical="center" indent="1"/>
    </xf>
    <xf numFmtId="0" fontId="18" fillId="0" borderId="0" xfId="0" applyFont="1" applyAlignment="1">
      <alignment horizontal="left" vertical="center" indent="2"/>
    </xf>
    <xf numFmtId="0" fontId="0" fillId="0" borderId="5" xfId="0" applyFill="1" applyBorder="1" applyAlignment="1">
      <alignment horizontal="center"/>
    </xf>
  </cellXfs>
  <cellStyles count="3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enableFormatConditionsCalculation="0">
    <pageSetUpPr fitToPage="1"/>
  </sheetPr>
  <dimension ref="A1:J198"/>
  <sheetViews>
    <sheetView showGridLines="0" tabSelected="1" workbookViewId="0">
      <pane ySplit="3" topLeftCell="A35" activePane="bottomLeft" state="frozen"/>
      <selection pane="bottomLeft" activeCell="A53" sqref="A53"/>
    </sheetView>
  </sheetViews>
  <sheetFormatPr defaultColWidth="8.85546875" defaultRowHeight="15" outlineLevelRow="1"/>
  <cols>
    <col min="1" max="1" width="6.28515625" customWidth="1"/>
    <col min="2" max="2" width="82.140625" bestFit="1" customWidth="1"/>
    <col min="3" max="3" width="9.28515625" style="9" bestFit="1" customWidth="1"/>
    <col min="4" max="4" width="8.42578125" customWidth="1"/>
    <col min="5" max="6" width="9" customWidth="1"/>
    <col min="7" max="7" width="11.7109375" bestFit="1" customWidth="1"/>
    <col min="8" max="8" width="10.7109375" bestFit="1" customWidth="1"/>
    <col min="9" max="9" width="5.7109375" customWidth="1"/>
    <col min="10" max="10" width="5.7109375" style="37" customWidth="1"/>
  </cols>
  <sheetData>
    <row r="1" spans="1:10" ht="26.25" customHeight="1" thickBot="1">
      <c r="A1" s="2" t="s">
        <v>228</v>
      </c>
      <c r="B1" s="3"/>
      <c r="C1" s="31"/>
      <c r="D1" s="32"/>
      <c r="E1" s="33" t="s">
        <v>5</v>
      </c>
      <c r="F1" s="34">
        <f>SUMIF(G4:G196, "&gt;0", C4:C196)</f>
        <v>140</v>
      </c>
      <c r="G1" s="35">
        <f>+C197</f>
        <v>687</v>
      </c>
      <c r="H1" s="36">
        <f>+F1/G1</f>
        <v>0.20378457059679767</v>
      </c>
    </row>
    <row r="2" spans="1:10">
      <c r="A2" s="5" t="s">
        <v>229</v>
      </c>
      <c r="B2" s="3"/>
      <c r="C2" s="4"/>
      <c r="G2" s="38">
        <f>+G1/60</f>
        <v>11.45</v>
      </c>
    </row>
    <row r="3" spans="1:10" ht="45.75" thickBot="1">
      <c r="B3" s="6" t="s">
        <v>0</v>
      </c>
      <c r="C3" s="10" t="s">
        <v>1</v>
      </c>
      <c r="D3" s="6" t="s">
        <v>6</v>
      </c>
      <c r="E3" s="7" t="s">
        <v>2</v>
      </c>
      <c r="F3" s="7" t="s">
        <v>3</v>
      </c>
      <c r="G3" s="11" t="s">
        <v>4</v>
      </c>
      <c r="H3" s="8" t="s">
        <v>7</v>
      </c>
    </row>
    <row r="4" spans="1:10" ht="21" thickBot="1">
      <c r="A4" s="28" t="s">
        <v>230</v>
      </c>
      <c r="B4" s="25"/>
      <c r="C4" s="26"/>
      <c r="D4" s="20">
        <f>SUM(C4:C17)</f>
        <v>36</v>
      </c>
      <c r="E4" s="27"/>
      <c r="F4" s="27"/>
      <c r="G4" s="41" t="str">
        <f>IF(COUNTA(G5:G16)=COUNTA(B5:B16), "COMPLETE", "")</f>
        <v>COMPLETE</v>
      </c>
    </row>
    <row r="5" spans="1:10" ht="15.75" outlineLevel="1" thickBot="1">
      <c r="B5" s="18" t="s">
        <v>12</v>
      </c>
      <c r="C5" s="16">
        <v>12</v>
      </c>
      <c r="D5" s="21">
        <f>D4/60</f>
        <v>0.6</v>
      </c>
      <c r="E5" s="17">
        <f>E4+(C5/$D$4)</f>
        <v>0.33333333333333331</v>
      </c>
      <c r="F5" s="15">
        <f>F4+(C5/$C$197)</f>
        <v>1.7467248908296942E-2</v>
      </c>
      <c r="G5" s="30">
        <v>42722</v>
      </c>
      <c r="H5" s="30">
        <v>42722</v>
      </c>
      <c r="I5" s="9" t="str">
        <f t="shared" ref="I5:I6" si="0">IF(H5="", "", IF(ISBLANK(H6), IF(H5&lt;&gt;H7, SUMIF(H:H,H5,C:C), ""), IF(H5&lt;&gt;H6, SUMIF(H:H,H5,C:C), "")))</f>
        <v/>
      </c>
      <c r="J5" s="38" t="str">
        <f t="shared" ref="J5:J6" si="1">IF(I5&lt;&gt;"", I5/60, "")</f>
        <v/>
      </c>
    </row>
    <row r="6" spans="1:10" outlineLevel="1">
      <c r="B6" s="18" t="s">
        <v>16</v>
      </c>
      <c r="C6" s="13">
        <v>2</v>
      </c>
      <c r="D6" s="19"/>
      <c r="E6" s="15">
        <f t="shared" ref="E6" si="2">E5+(C6/$D$4)</f>
        <v>0.38888888888888884</v>
      </c>
      <c r="F6" s="15">
        <f t="shared" ref="F6" si="3">F5+(C6/$C$197)</f>
        <v>2.0378457059679767E-2</v>
      </c>
      <c r="G6" s="30">
        <v>42724</v>
      </c>
      <c r="H6" s="30">
        <v>42722</v>
      </c>
      <c r="I6" s="9" t="str">
        <f t="shared" si="0"/>
        <v/>
      </c>
      <c r="J6" s="38" t="str">
        <f t="shared" si="1"/>
        <v/>
      </c>
    </row>
    <row r="7" spans="1:10" outlineLevel="1">
      <c r="B7" s="18" t="s">
        <v>17</v>
      </c>
      <c r="C7" s="13">
        <v>2</v>
      </c>
      <c r="D7" s="19"/>
      <c r="E7" s="15">
        <f t="shared" ref="E7:E16" si="4">E6+(C7/$D$4)</f>
        <v>0.44444444444444442</v>
      </c>
      <c r="F7" s="15">
        <f>F6+(C7/$C$197)</f>
        <v>2.3289665211062592E-2</v>
      </c>
      <c r="G7" s="30">
        <v>42724</v>
      </c>
      <c r="H7" s="30">
        <v>42722</v>
      </c>
      <c r="I7" s="9" t="str">
        <f>IF(H7="", "", IF(ISBLANK(H8), IF(H7&lt;&gt;H9, SUMIF(H:H,H7,C:C), ""), IF(H7&lt;&gt;H8, SUMIF(H:H,H7,C:C), "")))</f>
        <v/>
      </c>
      <c r="J7" s="38" t="str">
        <f t="shared" ref="J7" si="5">IF(I7&lt;&gt;"", I7/60, "")</f>
        <v/>
      </c>
    </row>
    <row r="8" spans="1:10" outlineLevel="1">
      <c r="B8" s="18" t="s">
        <v>18</v>
      </c>
      <c r="C8" s="13">
        <v>3</v>
      </c>
      <c r="D8" s="19"/>
      <c r="E8" s="15">
        <f t="shared" si="4"/>
        <v>0.52777777777777779</v>
      </c>
      <c r="F8" s="15">
        <f t="shared" ref="F8:F71" si="6">F7+(C8/$C$197)</f>
        <v>2.7656477438136828E-2</v>
      </c>
      <c r="G8" s="30">
        <v>42724</v>
      </c>
      <c r="H8" s="30">
        <v>42722</v>
      </c>
      <c r="I8" s="9" t="str">
        <f t="shared" ref="I8:I71" si="7">IF(H8="", "", IF(ISBLANK(H9), IF(H8&lt;&gt;H10, SUMIF(H:H,H8,C:C), ""), IF(H8&lt;&gt;H9, SUMIF(H:H,H8,C:C), "")))</f>
        <v/>
      </c>
      <c r="J8" s="38" t="str">
        <f t="shared" ref="J8:J71" si="8">IF(I8&lt;&gt;"", I8/60, "")</f>
        <v/>
      </c>
    </row>
    <row r="9" spans="1:10" outlineLevel="1">
      <c r="B9" s="18" t="s">
        <v>19</v>
      </c>
      <c r="C9" s="13">
        <v>1</v>
      </c>
      <c r="D9" s="19"/>
      <c r="E9" s="15">
        <f t="shared" si="4"/>
        <v>0.55555555555555558</v>
      </c>
      <c r="F9" s="15">
        <f t="shared" si="6"/>
        <v>2.9112081513828238E-2</v>
      </c>
      <c r="G9" s="30">
        <v>42724</v>
      </c>
      <c r="H9" s="30">
        <v>42722</v>
      </c>
      <c r="I9" s="9" t="str">
        <f t="shared" si="7"/>
        <v/>
      </c>
      <c r="J9" s="38" t="str">
        <f t="shared" si="8"/>
        <v/>
      </c>
    </row>
    <row r="10" spans="1:10" outlineLevel="1">
      <c r="B10" s="18" t="s">
        <v>20</v>
      </c>
      <c r="C10" s="47">
        <v>2</v>
      </c>
      <c r="D10" s="19"/>
      <c r="E10" s="15">
        <f t="shared" si="4"/>
        <v>0.61111111111111116</v>
      </c>
      <c r="F10" s="15">
        <f t="shared" si="6"/>
        <v>3.2023289665211063E-2</v>
      </c>
      <c r="G10" s="30">
        <v>42724</v>
      </c>
      <c r="H10" s="30">
        <v>42722</v>
      </c>
      <c r="I10" s="9" t="str">
        <f t="shared" si="7"/>
        <v/>
      </c>
      <c r="J10" s="38" t="str">
        <f t="shared" si="8"/>
        <v/>
      </c>
    </row>
    <row r="11" spans="1:10" outlineLevel="1">
      <c r="B11" s="18" t="s">
        <v>21</v>
      </c>
      <c r="C11" s="13">
        <v>1</v>
      </c>
      <c r="D11" s="19"/>
      <c r="E11" s="15">
        <f t="shared" si="4"/>
        <v>0.63888888888888895</v>
      </c>
      <c r="F11" s="15">
        <f t="shared" si="6"/>
        <v>3.3478893740902474E-2</v>
      </c>
      <c r="G11" s="30">
        <v>42724</v>
      </c>
      <c r="H11" s="30">
        <v>42722</v>
      </c>
      <c r="I11" s="9" t="str">
        <f t="shared" si="7"/>
        <v/>
      </c>
      <c r="J11" s="38" t="str">
        <f t="shared" si="8"/>
        <v/>
      </c>
    </row>
    <row r="12" spans="1:10" outlineLevel="1">
      <c r="B12" s="18" t="s">
        <v>22</v>
      </c>
      <c r="C12" s="13">
        <v>2</v>
      </c>
      <c r="D12" s="19"/>
      <c r="E12" s="15">
        <f t="shared" si="4"/>
        <v>0.69444444444444453</v>
      </c>
      <c r="F12" s="15">
        <f t="shared" si="6"/>
        <v>3.6390101892285295E-2</v>
      </c>
      <c r="G12" s="30">
        <v>42724</v>
      </c>
      <c r="H12" s="30">
        <v>42722</v>
      </c>
      <c r="I12" s="9" t="str">
        <f t="shared" si="7"/>
        <v/>
      </c>
      <c r="J12" s="38" t="str">
        <f t="shared" si="8"/>
        <v/>
      </c>
    </row>
    <row r="13" spans="1:10" outlineLevel="1">
      <c r="B13" s="18" t="s">
        <v>23</v>
      </c>
      <c r="C13" s="13">
        <v>2</v>
      </c>
      <c r="D13" s="19"/>
      <c r="E13" s="15">
        <f t="shared" si="4"/>
        <v>0.75000000000000011</v>
      </c>
      <c r="F13" s="15">
        <f t="shared" si="6"/>
        <v>3.9301310043668117E-2</v>
      </c>
      <c r="G13" s="30">
        <v>42724</v>
      </c>
      <c r="H13" s="30">
        <v>42722</v>
      </c>
      <c r="I13" s="9" t="str">
        <f t="shared" si="7"/>
        <v/>
      </c>
      <c r="J13" s="38" t="str">
        <f t="shared" si="8"/>
        <v/>
      </c>
    </row>
    <row r="14" spans="1:10" outlineLevel="1">
      <c r="B14" s="18" t="s">
        <v>24</v>
      </c>
      <c r="C14" s="13">
        <v>2</v>
      </c>
      <c r="D14" s="19"/>
      <c r="E14" s="15">
        <f t="shared" si="4"/>
        <v>0.80555555555555569</v>
      </c>
      <c r="F14" s="15">
        <f t="shared" si="6"/>
        <v>4.2212518195050938E-2</v>
      </c>
      <c r="G14" s="30">
        <v>42724</v>
      </c>
      <c r="H14" s="30">
        <v>42722</v>
      </c>
      <c r="I14" s="9" t="str">
        <f t="shared" si="7"/>
        <v/>
      </c>
      <c r="J14" s="38" t="str">
        <f t="shared" si="8"/>
        <v/>
      </c>
    </row>
    <row r="15" spans="1:10" outlineLevel="1">
      <c r="B15" s="18" t="s">
        <v>25</v>
      </c>
      <c r="C15" s="13">
        <v>2</v>
      </c>
      <c r="D15" s="19"/>
      <c r="E15" s="15">
        <f t="shared" si="4"/>
        <v>0.86111111111111127</v>
      </c>
      <c r="F15" s="15">
        <f t="shared" si="6"/>
        <v>4.512372634643376E-2</v>
      </c>
      <c r="G15" s="30">
        <v>42724</v>
      </c>
      <c r="H15" s="30">
        <v>42722</v>
      </c>
      <c r="I15" s="9" t="str">
        <f t="shared" si="7"/>
        <v/>
      </c>
      <c r="J15" s="38" t="str">
        <f t="shared" si="8"/>
        <v/>
      </c>
    </row>
    <row r="16" spans="1:10" ht="15.75" outlineLevel="1" thickBot="1">
      <c r="B16" s="18" t="s">
        <v>26</v>
      </c>
      <c r="C16" s="14">
        <v>5</v>
      </c>
      <c r="D16" s="19"/>
      <c r="E16" s="15">
        <f t="shared" si="4"/>
        <v>1.0000000000000002</v>
      </c>
      <c r="F16" s="15">
        <f t="shared" si="6"/>
        <v>5.240174672489082E-2</v>
      </c>
      <c r="G16" s="30">
        <v>42724</v>
      </c>
      <c r="H16" s="30">
        <v>42722</v>
      </c>
      <c r="I16" s="9">
        <f t="shared" si="7"/>
        <v>36</v>
      </c>
      <c r="J16" s="38">
        <f t="shared" si="8"/>
        <v>0.6</v>
      </c>
    </row>
    <row r="17" spans="1:10" ht="21" thickBot="1">
      <c r="A17" s="28" t="s">
        <v>231</v>
      </c>
      <c r="B17" s="25"/>
      <c r="C17" s="26"/>
      <c r="D17" s="20">
        <f>SUM(C17:C28)</f>
        <v>24</v>
      </c>
      <c r="E17" s="27"/>
      <c r="F17" s="29">
        <f t="shared" si="6"/>
        <v>5.240174672489082E-2</v>
      </c>
      <c r="G17" s="41" t="str">
        <f>IF(COUNTA(G18:G27)=COUNTA(B18:B27), "COMPLETE", "")</f>
        <v>COMPLETE</v>
      </c>
      <c r="I17" s="9" t="str">
        <f t="shared" si="7"/>
        <v/>
      </c>
      <c r="J17" s="38" t="str">
        <f t="shared" si="8"/>
        <v/>
      </c>
    </row>
    <row r="18" spans="1:10" ht="15.75" outlineLevel="1" thickBot="1">
      <c r="B18" s="18" t="s">
        <v>29</v>
      </c>
      <c r="C18" s="13">
        <v>2</v>
      </c>
      <c r="D18" s="21">
        <f>D17/60</f>
        <v>0.4</v>
      </c>
      <c r="E18" s="15">
        <f>E17+(C18/$D$17)</f>
        <v>8.3333333333333329E-2</v>
      </c>
      <c r="F18" s="15">
        <f t="shared" si="6"/>
        <v>5.5312954876273641E-2</v>
      </c>
      <c r="G18" s="30">
        <v>42787</v>
      </c>
      <c r="H18" s="30">
        <v>42787</v>
      </c>
      <c r="I18" s="9" t="str">
        <f t="shared" si="7"/>
        <v/>
      </c>
      <c r="J18" s="38" t="str">
        <f t="shared" si="8"/>
        <v/>
      </c>
    </row>
    <row r="19" spans="1:10" outlineLevel="1">
      <c r="B19" s="18" t="s">
        <v>30</v>
      </c>
      <c r="C19" s="13">
        <v>1</v>
      </c>
      <c r="D19" s="19"/>
      <c r="E19" s="15">
        <f>E18+(C19/$D$17)</f>
        <v>0.125</v>
      </c>
      <c r="F19" s="15">
        <f t="shared" si="6"/>
        <v>5.6768558951965052E-2</v>
      </c>
      <c r="G19" s="30">
        <v>42787</v>
      </c>
      <c r="H19" s="30">
        <v>42787</v>
      </c>
      <c r="I19" s="9" t="str">
        <f t="shared" si="7"/>
        <v/>
      </c>
      <c r="J19" s="38" t="str">
        <f t="shared" si="8"/>
        <v/>
      </c>
    </row>
    <row r="20" spans="1:10" outlineLevel="1">
      <c r="B20" s="18" t="s">
        <v>31</v>
      </c>
      <c r="C20" s="13">
        <v>1</v>
      </c>
      <c r="D20" s="19"/>
      <c r="E20" s="15">
        <f t="shared" ref="E20:E27" si="9">E19+(C20/$D$17)</f>
        <v>0.16666666666666666</v>
      </c>
      <c r="F20" s="15">
        <f t="shared" si="6"/>
        <v>5.8224163027656463E-2</v>
      </c>
      <c r="G20" s="30">
        <v>42787</v>
      </c>
      <c r="H20" s="30">
        <v>42787</v>
      </c>
      <c r="I20" s="9" t="str">
        <f t="shared" si="7"/>
        <v/>
      </c>
      <c r="J20" s="38" t="str">
        <f t="shared" si="8"/>
        <v/>
      </c>
    </row>
    <row r="21" spans="1:10" outlineLevel="1">
      <c r="B21" s="18" t="s">
        <v>32</v>
      </c>
      <c r="C21" s="13">
        <v>1</v>
      </c>
      <c r="D21" s="19"/>
      <c r="E21" s="15">
        <f t="shared" si="9"/>
        <v>0.20833333333333331</v>
      </c>
      <c r="F21" s="15">
        <f t="shared" si="6"/>
        <v>5.9679767103347874E-2</v>
      </c>
      <c r="G21" s="30">
        <v>42787</v>
      </c>
      <c r="H21" s="30">
        <v>42787</v>
      </c>
      <c r="I21" s="9" t="str">
        <f t="shared" si="7"/>
        <v/>
      </c>
      <c r="J21" s="38" t="str">
        <f t="shared" si="8"/>
        <v/>
      </c>
    </row>
    <row r="22" spans="1:10" outlineLevel="1">
      <c r="B22" s="18" t="s">
        <v>33</v>
      </c>
      <c r="C22" s="13">
        <v>2</v>
      </c>
      <c r="D22" s="19"/>
      <c r="E22" s="15">
        <f t="shared" si="9"/>
        <v>0.29166666666666663</v>
      </c>
      <c r="F22" s="15">
        <f t="shared" si="6"/>
        <v>6.2590975254730702E-2</v>
      </c>
      <c r="G22" s="30">
        <v>42787</v>
      </c>
      <c r="H22" s="30">
        <v>42787</v>
      </c>
      <c r="I22" s="9" t="str">
        <f t="shared" si="7"/>
        <v/>
      </c>
      <c r="J22" s="38" t="str">
        <f t="shared" si="8"/>
        <v/>
      </c>
    </row>
    <row r="23" spans="1:10" outlineLevel="1">
      <c r="B23" s="18" t="s">
        <v>34</v>
      </c>
      <c r="C23" s="13">
        <v>2</v>
      </c>
      <c r="D23" s="19"/>
      <c r="E23" s="15">
        <f t="shared" si="9"/>
        <v>0.37499999999999994</v>
      </c>
      <c r="F23" s="15">
        <f t="shared" si="6"/>
        <v>6.5502183406113523E-2</v>
      </c>
      <c r="G23" s="30">
        <v>42787</v>
      </c>
      <c r="H23" s="30">
        <v>42787</v>
      </c>
      <c r="I23" s="9" t="str">
        <f t="shared" si="7"/>
        <v/>
      </c>
      <c r="J23" s="38" t="str">
        <f t="shared" si="8"/>
        <v/>
      </c>
    </row>
    <row r="24" spans="1:10" outlineLevel="1">
      <c r="B24" s="18" t="s">
        <v>35</v>
      </c>
      <c r="C24" s="13">
        <v>4</v>
      </c>
      <c r="D24" s="19"/>
      <c r="E24" s="15">
        <f t="shared" si="9"/>
        <v>0.54166666666666663</v>
      </c>
      <c r="F24" s="15">
        <f t="shared" si="6"/>
        <v>7.1324599708879166E-2</v>
      </c>
      <c r="G24" s="30">
        <v>42787</v>
      </c>
      <c r="H24" s="30">
        <v>42787</v>
      </c>
      <c r="I24" s="9" t="str">
        <f t="shared" si="7"/>
        <v/>
      </c>
      <c r="J24" s="38" t="str">
        <f t="shared" si="8"/>
        <v/>
      </c>
    </row>
    <row r="25" spans="1:10" outlineLevel="1">
      <c r="B25" s="18" t="s">
        <v>36</v>
      </c>
      <c r="C25" s="13">
        <v>3</v>
      </c>
      <c r="D25" s="19"/>
      <c r="E25" s="15">
        <f t="shared" si="9"/>
        <v>0.66666666666666663</v>
      </c>
      <c r="F25" s="15">
        <f t="shared" si="6"/>
        <v>7.5691411935953398E-2</v>
      </c>
      <c r="G25" s="30">
        <v>42787</v>
      </c>
      <c r="H25" s="30">
        <v>42787</v>
      </c>
      <c r="I25" s="9" t="str">
        <f t="shared" si="7"/>
        <v/>
      </c>
      <c r="J25" s="38" t="str">
        <f t="shared" si="8"/>
        <v/>
      </c>
    </row>
    <row r="26" spans="1:10" outlineLevel="1">
      <c r="B26" s="18" t="s">
        <v>37</v>
      </c>
      <c r="C26" s="13">
        <v>3</v>
      </c>
      <c r="D26" s="19"/>
      <c r="E26" s="15">
        <f t="shared" si="9"/>
        <v>0.79166666666666663</v>
      </c>
      <c r="F26" s="15">
        <f t="shared" si="6"/>
        <v>8.005822416302763E-2</v>
      </c>
      <c r="G26" s="30">
        <v>42787</v>
      </c>
      <c r="H26" s="30">
        <v>42787</v>
      </c>
      <c r="I26" s="9" t="str">
        <f t="shared" si="7"/>
        <v/>
      </c>
      <c r="J26" s="38" t="str">
        <f t="shared" si="8"/>
        <v/>
      </c>
    </row>
    <row r="27" spans="1:10" ht="15.75" outlineLevel="1" thickBot="1">
      <c r="B27" s="18" t="s">
        <v>38</v>
      </c>
      <c r="C27" s="14">
        <v>5</v>
      </c>
      <c r="D27" s="19"/>
      <c r="E27" s="15">
        <f t="shared" si="9"/>
        <v>1</v>
      </c>
      <c r="F27" s="15">
        <f t="shared" si="6"/>
        <v>8.7336244541484684E-2</v>
      </c>
      <c r="G27" s="30">
        <v>42787</v>
      </c>
      <c r="H27" s="30">
        <v>42787</v>
      </c>
      <c r="I27" s="9" t="str">
        <f t="shared" si="7"/>
        <v/>
      </c>
      <c r="J27" s="38" t="str">
        <f t="shared" si="8"/>
        <v/>
      </c>
    </row>
    <row r="28" spans="1:10" ht="21" thickBot="1">
      <c r="A28" s="28" t="s">
        <v>232</v>
      </c>
      <c r="B28" s="25"/>
      <c r="C28" s="26"/>
      <c r="D28" s="20">
        <f>SUM(C28:C35)</f>
        <v>16</v>
      </c>
      <c r="E28" s="27"/>
      <c r="F28" s="29">
        <f t="shared" si="6"/>
        <v>8.7336244541484684E-2</v>
      </c>
      <c r="G28" s="41" t="str">
        <f>IF(COUNTA(G29:G34)=COUNTA(B29:B34), "COMPLETE", "")</f>
        <v>COMPLETE</v>
      </c>
      <c r="I28" s="9" t="str">
        <f t="shared" si="7"/>
        <v/>
      </c>
      <c r="J28" s="38" t="str">
        <f t="shared" si="8"/>
        <v/>
      </c>
    </row>
    <row r="29" spans="1:10" ht="15.75" outlineLevel="1" thickBot="1">
      <c r="B29" s="18" t="s">
        <v>41</v>
      </c>
      <c r="C29" s="13">
        <v>3</v>
      </c>
      <c r="D29" s="21">
        <f>D28/60</f>
        <v>0.26666666666666666</v>
      </c>
      <c r="E29" s="15">
        <f t="shared" ref="E29:E34" si="10">E28+(C29/$D$28)</f>
        <v>0.1875</v>
      </c>
      <c r="F29" s="15">
        <f t="shared" si="6"/>
        <v>9.1703056768558916E-2</v>
      </c>
      <c r="G29" s="30">
        <v>42787</v>
      </c>
      <c r="H29" s="30">
        <v>42787</v>
      </c>
      <c r="I29" s="9" t="str">
        <f t="shared" si="7"/>
        <v/>
      </c>
      <c r="J29" s="38" t="str">
        <f t="shared" si="8"/>
        <v/>
      </c>
    </row>
    <row r="30" spans="1:10" outlineLevel="1">
      <c r="B30" s="18" t="s">
        <v>42</v>
      </c>
      <c r="C30" s="13">
        <v>1</v>
      </c>
      <c r="D30" s="19"/>
      <c r="E30" s="15">
        <f t="shared" si="10"/>
        <v>0.25</v>
      </c>
      <c r="F30" s="15">
        <f t="shared" si="6"/>
        <v>9.3158660844250327E-2</v>
      </c>
      <c r="G30" s="30">
        <v>42787</v>
      </c>
      <c r="H30" s="30">
        <v>42787</v>
      </c>
      <c r="I30" s="9" t="str">
        <f t="shared" si="7"/>
        <v/>
      </c>
      <c r="J30" s="38" t="str">
        <f t="shared" si="8"/>
        <v/>
      </c>
    </row>
    <row r="31" spans="1:10" outlineLevel="1">
      <c r="B31" s="18" t="s">
        <v>43</v>
      </c>
      <c r="C31" s="13">
        <v>2</v>
      </c>
      <c r="D31" s="19"/>
      <c r="E31" s="15">
        <f t="shared" si="10"/>
        <v>0.375</v>
      </c>
      <c r="F31" s="15">
        <f t="shared" si="6"/>
        <v>9.6069868995633148E-2</v>
      </c>
      <c r="G31" s="30">
        <v>42787</v>
      </c>
      <c r="H31" s="30">
        <v>42787</v>
      </c>
      <c r="I31" s="9" t="str">
        <f t="shared" si="7"/>
        <v/>
      </c>
      <c r="J31" s="38" t="str">
        <f t="shared" si="8"/>
        <v/>
      </c>
    </row>
    <row r="32" spans="1:10" outlineLevel="1">
      <c r="B32" s="18" t="s">
        <v>44</v>
      </c>
      <c r="C32" s="13">
        <v>2</v>
      </c>
      <c r="D32" s="19"/>
      <c r="E32" s="15">
        <f t="shared" si="10"/>
        <v>0.5</v>
      </c>
      <c r="F32" s="15">
        <f t="shared" si="6"/>
        <v>9.8981077147015969E-2</v>
      </c>
      <c r="G32" s="30">
        <v>42787</v>
      </c>
      <c r="H32" s="30">
        <v>42787</v>
      </c>
      <c r="I32" s="9" t="str">
        <f t="shared" si="7"/>
        <v/>
      </c>
      <c r="J32" s="38" t="str">
        <f t="shared" si="8"/>
        <v/>
      </c>
    </row>
    <row r="33" spans="1:10" outlineLevel="1">
      <c r="B33" s="18" t="s">
        <v>45</v>
      </c>
      <c r="C33" s="13">
        <v>3</v>
      </c>
      <c r="D33" s="19"/>
      <c r="E33" s="15">
        <f t="shared" si="10"/>
        <v>0.6875</v>
      </c>
      <c r="F33" s="15">
        <f t="shared" si="6"/>
        <v>0.1033478893740902</v>
      </c>
      <c r="G33" s="30">
        <v>42787</v>
      </c>
      <c r="H33" s="30">
        <v>42787</v>
      </c>
      <c r="I33" s="9" t="str">
        <f t="shared" si="7"/>
        <v/>
      </c>
      <c r="J33" s="38" t="str">
        <f t="shared" si="8"/>
        <v/>
      </c>
    </row>
    <row r="34" spans="1:10" ht="15.75" outlineLevel="1" thickBot="1">
      <c r="B34" s="18" t="s">
        <v>46</v>
      </c>
      <c r="C34" s="14">
        <v>5</v>
      </c>
      <c r="D34" s="19"/>
      <c r="E34" s="15">
        <f t="shared" si="10"/>
        <v>1</v>
      </c>
      <c r="F34" s="15">
        <f t="shared" si="6"/>
        <v>0.11062590975254726</v>
      </c>
      <c r="G34" s="30">
        <v>42787</v>
      </c>
      <c r="H34" s="30">
        <v>42787</v>
      </c>
      <c r="I34" s="9" t="str">
        <f t="shared" si="7"/>
        <v/>
      </c>
      <c r="J34" s="38" t="str">
        <f t="shared" si="8"/>
        <v/>
      </c>
    </row>
    <row r="35" spans="1:10" ht="21" thickBot="1">
      <c r="A35" s="28" t="s">
        <v>233</v>
      </c>
      <c r="B35" s="25"/>
      <c r="C35" s="26"/>
      <c r="D35" s="20">
        <f>SUM(C35:C44)</f>
        <v>30</v>
      </c>
      <c r="E35" s="27"/>
      <c r="F35" s="29">
        <f t="shared" si="6"/>
        <v>0.11062590975254726</v>
      </c>
      <c r="G35" s="41" t="str">
        <f>IF(COUNTA(G36:G43)=COUNTA(B36:B43), "COMPLETE", "")</f>
        <v>COMPLETE</v>
      </c>
      <c r="I35" s="9" t="str">
        <f t="shared" si="7"/>
        <v/>
      </c>
      <c r="J35" s="38" t="str">
        <f t="shared" si="8"/>
        <v/>
      </c>
    </row>
    <row r="36" spans="1:10" ht="15.75" outlineLevel="1" thickBot="1">
      <c r="B36" s="22" t="s">
        <v>49</v>
      </c>
      <c r="C36" s="23">
        <v>3</v>
      </c>
      <c r="D36" s="24">
        <f>D35/60</f>
        <v>0.5</v>
      </c>
      <c r="E36" s="15">
        <f t="shared" ref="E36:E43" si="11">E35+(C36/$D$35)</f>
        <v>0.1</v>
      </c>
      <c r="F36" s="15">
        <f t="shared" si="6"/>
        <v>0.11499272197962149</v>
      </c>
      <c r="G36" s="30">
        <v>42787</v>
      </c>
      <c r="H36" s="30">
        <v>42787</v>
      </c>
      <c r="I36" s="9" t="str">
        <f t="shared" si="7"/>
        <v/>
      </c>
      <c r="J36" s="38" t="str">
        <f t="shared" si="8"/>
        <v/>
      </c>
    </row>
    <row r="37" spans="1:10" outlineLevel="1">
      <c r="B37" s="18" t="s">
        <v>51</v>
      </c>
      <c r="C37" s="13">
        <v>3</v>
      </c>
      <c r="D37" s="19"/>
      <c r="E37" s="15">
        <f t="shared" si="11"/>
        <v>0.2</v>
      </c>
      <c r="F37" s="15">
        <f t="shared" si="6"/>
        <v>0.11935953420669572</v>
      </c>
      <c r="G37" s="30">
        <v>42787</v>
      </c>
      <c r="H37" s="30">
        <v>42787</v>
      </c>
      <c r="I37" s="9" t="str">
        <f t="shared" si="7"/>
        <v/>
      </c>
      <c r="J37" s="38" t="str">
        <f t="shared" si="8"/>
        <v/>
      </c>
    </row>
    <row r="38" spans="1:10" outlineLevel="1">
      <c r="B38" s="18" t="s">
        <v>52</v>
      </c>
      <c r="C38" s="13">
        <v>5</v>
      </c>
      <c r="D38" s="19"/>
      <c r="E38" s="15">
        <f t="shared" si="11"/>
        <v>0.3666666666666667</v>
      </c>
      <c r="F38" s="15">
        <f t="shared" si="6"/>
        <v>0.12663755458515277</v>
      </c>
      <c r="G38" s="30">
        <v>42787</v>
      </c>
      <c r="H38" s="30">
        <v>42787</v>
      </c>
      <c r="I38" s="9" t="str">
        <f t="shared" si="7"/>
        <v/>
      </c>
      <c r="J38" s="38" t="str">
        <f t="shared" si="8"/>
        <v/>
      </c>
    </row>
    <row r="39" spans="1:10" outlineLevel="1">
      <c r="B39" s="18" t="s">
        <v>53</v>
      </c>
      <c r="C39" s="13">
        <v>2</v>
      </c>
      <c r="D39" s="19"/>
      <c r="E39" s="15">
        <f t="shared" si="11"/>
        <v>0.43333333333333335</v>
      </c>
      <c r="F39" s="15">
        <f t="shared" si="6"/>
        <v>0.12954876273653559</v>
      </c>
      <c r="G39" s="30">
        <v>42787</v>
      </c>
      <c r="H39" s="30">
        <v>42787</v>
      </c>
      <c r="I39" s="9" t="str">
        <f t="shared" si="7"/>
        <v/>
      </c>
      <c r="J39" s="38" t="str">
        <f t="shared" si="8"/>
        <v/>
      </c>
    </row>
    <row r="40" spans="1:10" outlineLevel="1">
      <c r="B40" s="18" t="s">
        <v>54</v>
      </c>
      <c r="C40" s="13">
        <v>3</v>
      </c>
      <c r="D40" s="19"/>
      <c r="E40" s="15">
        <f t="shared" si="11"/>
        <v>0.53333333333333333</v>
      </c>
      <c r="F40" s="15">
        <f t="shared" si="6"/>
        <v>0.13391557496360984</v>
      </c>
      <c r="G40" s="30">
        <v>42787</v>
      </c>
      <c r="H40" s="30">
        <v>42787</v>
      </c>
      <c r="I40" s="9" t="str">
        <f t="shared" si="7"/>
        <v/>
      </c>
      <c r="J40" s="38" t="str">
        <f t="shared" si="8"/>
        <v/>
      </c>
    </row>
    <row r="41" spans="1:10" outlineLevel="1">
      <c r="B41" s="18" t="s">
        <v>55</v>
      </c>
      <c r="C41" s="13">
        <v>2</v>
      </c>
      <c r="D41" s="19"/>
      <c r="E41" s="15">
        <f t="shared" si="11"/>
        <v>0.6</v>
      </c>
      <c r="F41" s="15">
        <f t="shared" si="6"/>
        <v>0.13682678311499266</v>
      </c>
      <c r="G41" s="30">
        <v>42787</v>
      </c>
      <c r="H41" s="30">
        <v>42787</v>
      </c>
      <c r="I41" s="9" t="str">
        <f t="shared" si="7"/>
        <v/>
      </c>
      <c r="J41" s="38" t="str">
        <f t="shared" si="8"/>
        <v/>
      </c>
    </row>
    <row r="42" spans="1:10" outlineLevel="1">
      <c r="B42" s="18" t="s">
        <v>56</v>
      </c>
      <c r="C42" s="13">
        <v>7</v>
      </c>
      <c r="D42" s="19"/>
      <c r="E42" s="15">
        <f t="shared" si="11"/>
        <v>0.83333333333333326</v>
      </c>
      <c r="F42" s="15">
        <f t="shared" si="6"/>
        <v>0.14701601164483255</v>
      </c>
      <c r="G42" s="30">
        <v>42787</v>
      </c>
      <c r="H42" s="30">
        <v>42787</v>
      </c>
      <c r="I42" s="9" t="str">
        <f t="shared" si="7"/>
        <v/>
      </c>
      <c r="J42" s="38" t="str">
        <f t="shared" si="8"/>
        <v/>
      </c>
    </row>
    <row r="43" spans="1:10" ht="15.75" outlineLevel="1" thickBot="1">
      <c r="B43" s="18" t="s">
        <v>58</v>
      </c>
      <c r="C43" s="14">
        <v>5</v>
      </c>
      <c r="D43" s="19"/>
      <c r="E43" s="15">
        <f t="shared" si="11"/>
        <v>0.99999999999999989</v>
      </c>
      <c r="F43" s="15">
        <f t="shared" si="6"/>
        <v>0.15429403202328962</v>
      </c>
      <c r="G43" s="30">
        <v>42787</v>
      </c>
      <c r="H43" s="30">
        <v>42787</v>
      </c>
      <c r="I43" s="9">
        <f t="shared" si="7"/>
        <v>70</v>
      </c>
      <c r="J43" s="38">
        <f t="shared" si="8"/>
        <v>1.1666666666666667</v>
      </c>
    </row>
    <row r="44" spans="1:10" ht="21" thickBot="1">
      <c r="A44" s="28" t="s">
        <v>234</v>
      </c>
      <c r="B44" s="25"/>
      <c r="C44" s="26"/>
      <c r="D44" s="20">
        <f>SUM(C44:C54)</f>
        <v>34</v>
      </c>
      <c r="E44" s="27"/>
      <c r="F44" s="29">
        <f t="shared" si="6"/>
        <v>0.15429403202328962</v>
      </c>
      <c r="G44" s="41" t="str">
        <f>IF(COUNTA(G45:G53)=COUNTA(B45:B53), "COMPLETE", "")</f>
        <v>COMPLETE</v>
      </c>
      <c r="I44" s="9" t="str">
        <f t="shared" si="7"/>
        <v/>
      </c>
      <c r="J44" s="38" t="str">
        <f t="shared" si="8"/>
        <v/>
      </c>
    </row>
    <row r="45" spans="1:10" ht="15.75" outlineLevel="1" thickBot="1">
      <c r="B45" s="18" t="s">
        <v>61</v>
      </c>
      <c r="C45" s="13">
        <v>2</v>
      </c>
      <c r="D45" s="21">
        <f>D44/60</f>
        <v>0.56666666666666665</v>
      </c>
      <c r="E45" s="15">
        <f t="shared" ref="E45:E53" si="12">E44+(C45/$D$44)</f>
        <v>5.8823529411764705E-2</v>
      </c>
      <c r="F45" s="15">
        <f t="shared" si="6"/>
        <v>0.15720524017467244</v>
      </c>
      <c r="G45" s="30">
        <v>42788</v>
      </c>
      <c r="H45" s="30">
        <v>42788</v>
      </c>
      <c r="I45" s="9" t="str">
        <f t="shared" si="7"/>
        <v/>
      </c>
      <c r="J45" s="38" t="str">
        <f t="shared" si="8"/>
        <v/>
      </c>
    </row>
    <row r="46" spans="1:10" outlineLevel="1">
      <c r="B46" s="18" t="s">
        <v>62</v>
      </c>
      <c r="C46" s="13">
        <v>5</v>
      </c>
      <c r="D46" s="19"/>
      <c r="E46" s="15">
        <f t="shared" si="12"/>
        <v>0.20588235294117646</v>
      </c>
      <c r="F46" s="15">
        <f t="shared" si="6"/>
        <v>0.16448326055312951</v>
      </c>
      <c r="G46" s="30">
        <v>42788</v>
      </c>
      <c r="H46" s="30">
        <v>42788</v>
      </c>
      <c r="I46" s="9" t="str">
        <f t="shared" si="7"/>
        <v/>
      </c>
      <c r="J46" s="38" t="str">
        <f t="shared" si="8"/>
        <v/>
      </c>
    </row>
    <row r="47" spans="1:10" outlineLevel="1">
      <c r="B47" s="18" t="s">
        <v>63</v>
      </c>
      <c r="C47" s="13">
        <v>2</v>
      </c>
      <c r="D47" s="19"/>
      <c r="E47" s="15">
        <f t="shared" si="12"/>
        <v>0.26470588235294118</v>
      </c>
      <c r="F47" s="15">
        <f t="shared" si="6"/>
        <v>0.16739446870451233</v>
      </c>
      <c r="G47" s="30">
        <v>42788</v>
      </c>
      <c r="H47" s="30">
        <v>42788</v>
      </c>
      <c r="I47" s="9" t="str">
        <f t="shared" si="7"/>
        <v/>
      </c>
      <c r="J47" s="38" t="str">
        <f t="shared" si="8"/>
        <v/>
      </c>
    </row>
    <row r="48" spans="1:10" outlineLevel="1">
      <c r="B48" s="18" t="s">
        <v>64</v>
      </c>
      <c r="C48" s="13">
        <v>8</v>
      </c>
      <c r="D48" s="19"/>
      <c r="E48" s="15">
        <f t="shared" si="12"/>
        <v>0.5</v>
      </c>
      <c r="F48" s="15">
        <f t="shared" si="6"/>
        <v>0.17903930131004361</v>
      </c>
      <c r="G48" s="30">
        <v>42788</v>
      </c>
      <c r="H48" s="30">
        <v>42788</v>
      </c>
      <c r="I48" s="9" t="str">
        <f t="shared" si="7"/>
        <v/>
      </c>
      <c r="J48" s="38" t="str">
        <f t="shared" si="8"/>
        <v/>
      </c>
    </row>
    <row r="49" spans="1:10" outlineLevel="1">
      <c r="B49" s="18" t="s">
        <v>65</v>
      </c>
      <c r="C49" s="13">
        <v>4</v>
      </c>
      <c r="D49" s="19"/>
      <c r="E49" s="15">
        <f t="shared" si="12"/>
        <v>0.61764705882352944</v>
      </c>
      <c r="F49" s="15">
        <f t="shared" si="6"/>
        <v>0.18486171761280926</v>
      </c>
      <c r="G49" s="30">
        <v>42788</v>
      </c>
      <c r="H49" s="30">
        <v>42788</v>
      </c>
      <c r="I49" s="9" t="str">
        <f t="shared" si="7"/>
        <v/>
      </c>
      <c r="J49" s="38" t="str">
        <f t="shared" si="8"/>
        <v/>
      </c>
    </row>
    <row r="50" spans="1:10" outlineLevel="1">
      <c r="B50" s="18" t="s">
        <v>66</v>
      </c>
      <c r="C50" s="13">
        <v>1</v>
      </c>
      <c r="D50" s="19"/>
      <c r="E50" s="15">
        <f t="shared" si="12"/>
        <v>0.6470588235294118</v>
      </c>
      <c r="F50" s="15">
        <f t="shared" si="6"/>
        <v>0.18631732168850068</v>
      </c>
      <c r="G50" s="30">
        <v>42788</v>
      </c>
      <c r="H50" s="30">
        <v>42788</v>
      </c>
      <c r="I50" s="9" t="str">
        <f t="shared" si="7"/>
        <v/>
      </c>
      <c r="J50" s="38" t="str">
        <f t="shared" si="8"/>
        <v/>
      </c>
    </row>
    <row r="51" spans="1:10" outlineLevel="1">
      <c r="B51" s="18" t="s">
        <v>67</v>
      </c>
      <c r="C51" s="13">
        <v>5</v>
      </c>
      <c r="D51" s="19"/>
      <c r="E51" s="15">
        <f t="shared" si="12"/>
        <v>0.79411764705882359</v>
      </c>
      <c r="F51" s="15">
        <f t="shared" si="6"/>
        <v>0.19359534206695775</v>
      </c>
      <c r="G51" s="30">
        <v>42788</v>
      </c>
      <c r="H51" s="30">
        <v>42788</v>
      </c>
      <c r="I51" s="9" t="str">
        <f t="shared" si="7"/>
        <v/>
      </c>
      <c r="J51" s="38" t="str">
        <f t="shared" si="8"/>
        <v/>
      </c>
    </row>
    <row r="52" spans="1:10" outlineLevel="1">
      <c r="B52" s="18" t="s">
        <v>68</v>
      </c>
      <c r="C52" s="13">
        <v>2</v>
      </c>
      <c r="D52" s="19"/>
      <c r="E52" s="15">
        <f t="shared" si="12"/>
        <v>0.85294117647058831</v>
      </c>
      <c r="F52" s="15">
        <f t="shared" si="6"/>
        <v>0.19650655021834057</v>
      </c>
      <c r="G52" s="30">
        <v>42788</v>
      </c>
      <c r="H52" s="30">
        <v>42788</v>
      </c>
      <c r="I52" s="9" t="str">
        <f t="shared" si="7"/>
        <v/>
      </c>
      <c r="J52" s="38" t="str">
        <f t="shared" si="8"/>
        <v/>
      </c>
    </row>
    <row r="53" spans="1:10" ht="15.75" outlineLevel="1" thickBot="1">
      <c r="B53" s="18" t="s">
        <v>69</v>
      </c>
      <c r="C53" s="14">
        <v>5</v>
      </c>
      <c r="D53" s="19"/>
      <c r="E53" s="15">
        <f t="shared" si="12"/>
        <v>1</v>
      </c>
      <c r="F53" s="15">
        <f t="shared" si="6"/>
        <v>0.20378457059679764</v>
      </c>
      <c r="G53" s="30">
        <v>42788</v>
      </c>
      <c r="H53" s="30">
        <v>42788</v>
      </c>
      <c r="I53" s="9" t="str">
        <f t="shared" si="7"/>
        <v/>
      </c>
      <c r="J53" s="38" t="str">
        <f t="shared" si="8"/>
        <v/>
      </c>
    </row>
    <row r="54" spans="1:10" ht="21" thickBot="1">
      <c r="A54" s="28" t="s">
        <v>235</v>
      </c>
      <c r="B54" s="25"/>
      <c r="C54" s="26"/>
      <c r="D54" s="20">
        <f>SUM(C54:C77)</f>
        <v>90</v>
      </c>
      <c r="E54" s="27"/>
      <c r="F54" s="29">
        <f t="shared" si="6"/>
        <v>0.20378457059679764</v>
      </c>
      <c r="G54" s="41" t="str">
        <f>IF(COUNTA(G55:G76)=COUNTA(B55:B76), "COMPLETE", "")</f>
        <v/>
      </c>
      <c r="I54" s="9" t="str">
        <f t="shared" si="7"/>
        <v/>
      </c>
      <c r="J54" s="38" t="str">
        <f t="shared" si="8"/>
        <v/>
      </c>
    </row>
    <row r="55" spans="1:10" ht="15.75" outlineLevel="1" thickBot="1">
      <c r="B55" s="18" t="s">
        <v>72</v>
      </c>
      <c r="C55" s="13">
        <v>3</v>
      </c>
      <c r="D55" s="21">
        <f>D54/60</f>
        <v>1.5</v>
      </c>
      <c r="E55" s="15">
        <f>E54+(C55/$D$54)</f>
        <v>3.3333333333333333E-2</v>
      </c>
      <c r="F55" s="15">
        <f t="shared" si="6"/>
        <v>0.20815138282387188</v>
      </c>
      <c r="G55" s="30"/>
      <c r="H55" s="30">
        <v>42788</v>
      </c>
      <c r="I55" s="9" t="str">
        <f t="shared" si="7"/>
        <v/>
      </c>
      <c r="J55" s="38" t="str">
        <f t="shared" si="8"/>
        <v/>
      </c>
    </row>
    <row r="56" spans="1:10" outlineLevel="1">
      <c r="B56" s="18" t="s">
        <v>73</v>
      </c>
      <c r="C56" s="13">
        <v>3</v>
      </c>
      <c r="D56" s="19"/>
      <c r="E56" s="15">
        <f>E55+(C56/$D$54)</f>
        <v>6.6666666666666666E-2</v>
      </c>
      <c r="F56" s="15">
        <f t="shared" si="6"/>
        <v>0.21251819505094613</v>
      </c>
      <c r="G56" s="30"/>
      <c r="H56" s="30">
        <v>42788</v>
      </c>
      <c r="I56" s="9" t="str">
        <f t="shared" si="7"/>
        <v/>
      </c>
      <c r="J56" s="38" t="str">
        <f t="shared" si="8"/>
        <v/>
      </c>
    </row>
    <row r="57" spans="1:10" outlineLevel="1">
      <c r="B57" s="18" t="s">
        <v>74</v>
      </c>
      <c r="C57" s="13">
        <v>1</v>
      </c>
      <c r="D57" s="19"/>
      <c r="E57" s="15">
        <f>E56+(C57/$D$54)</f>
        <v>7.7777777777777779E-2</v>
      </c>
      <c r="F57" s="15">
        <f t="shared" si="6"/>
        <v>0.21397379912663755</v>
      </c>
      <c r="G57" s="30"/>
      <c r="H57" s="30">
        <v>42788</v>
      </c>
      <c r="I57" s="9" t="str">
        <f t="shared" si="7"/>
        <v/>
      </c>
      <c r="J57" s="38" t="str">
        <f t="shared" si="8"/>
        <v/>
      </c>
    </row>
    <row r="58" spans="1:10" outlineLevel="1">
      <c r="B58" s="18" t="s">
        <v>75</v>
      </c>
      <c r="C58" s="13">
        <v>4</v>
      </c>
      <c r="D58" s="19"/>
      <c r="E58" s="15">
        <f>E57+(C58/$D$54)</f>
        <v>0.12222222222222223</v>
      </c>
      <c r="F58" s="15">
        <f t="shared" si="6"/>
        <v>0.2197962154294032</v>
      </c>
      <c r="G58" s="30"/>
      <c r="H58" s="30">
        <v>42788</v>
      </c>
      <c r="I58" s="9" t="str">
        <f t="shared" si="7"/>
        <v/>
      </c>
      <c r="J58" s="38" t="str">
        <f t="shared" si="8"/>
        <v/>
      </c>
    </row>
    <row r="59" spans="1:10" outlineLevel="1">
      <c r="B59" s="18" t="s">
        <v>76</v>
      </c>
      <c r="C59" s="13">
        <v>6</v>
      </c>
      <c r="D59" s="19"/>
      <c r="E59" s="15">
        <f t="shared" ref="E59:E76" si="13">E58+(C59/$D$54)</f>
        <v>0.18888888888888888</v>
      </c>
      <c r="F59" s="15">
        <f t="shared" si="6"/>
        <v>0.22852983988355166</v>
      </c>
      <c r="G59" s="30"/>
      <c r="H59" s="30">
        <v>42788</v>
      </c>
      <c r="I59" s="9" t="str">
        <f t="shared" si="7"/>
        <v/>
      </c>
      <c r="J59" s="38" t="str">
        <f t="shared" si="8"/>
        <v/>
      </c>
    </row>
    <row r="60" spans="1:10" outlineLevel="1">
      <c r="B60" s="18" t="s">
        <v>78</v>
      </c>
      <c r="C60" s="13">
        <v>4</v>
      </c>
      <c r="D60" s="19"/>
      <c r="E60" s="15">
        <f t="shared" si="13"/>
        <v>0.23333333333333334</v>
      </c>
      <c r="F60" s="15">
        <f t="shared" si="6"/>
        <v>0.2343522561863173</v>
      </c>
      <c r="G60" s="30"/>
      <c r="H60" s="30">
        <v>42788</v>
      </c>
      <c r="I60" s="9" t="str">
        <f t="shared" si="7"/>
        <v/>
      </c>
      <c r="J60" s="38" t="str">
        <f t="shared" si="8"/>
        <v/>
      </c>
    </row>
    <row r="61" spans="1:10" outlineLevel="1">
      <c r="B61" s="18" t="s">
        <v>79</v>
      </c>
      <c r="C61" s="13">
        <v>3</v>
      </c>
      <c r="D61" s="19"/>
      <c r="E61" s="15">
        <f t="shared" si="13"/>
        <v>0.26666666666666666</v>
      </c>
      <c r="F61" s="15">
        <f t="shared" si="6"/>
        <v>0.23871906841339155</v>
      </c>
      <c r="G61" s="30"/>
      <c r="H61" s="30">
        <v>42788</v>
      </c>
      <c r="I61" s="9" t="str">
        <f t="shared" si="7"/>
        <v/>
      </c>
      <c r="J61" s="38" t="str">
        <f t="shared" si="8"/>
        <v/>
      </c>
    </row>
    <row r="62" spans="1:10" outlineLevel="1">
      <c r="B62" s="18" t="s">
        <v>80</v>
      </c>
      <c r="C62" s="13">
        <v>1</v>
      </c>
      <c r="D62" s="19"/>
      <c r="E62" s="15">
        <f t="shared" si="13"/>
        <v>0.27777777777777779</v>
      </c>
      <c r="F62" s="15">
        <f t="shared" si="6"/>
        <v>0.24017467248908297</v>
      </c>
      <c r="G62" s="30"/>
      <c r="H62" s="30">
        <v>42788</v>
      </c>
      <c r="I62" s="9">
        <f t="shared" si="7"/>
        <v>59</v>
      </c>
      <c r="J62" s="38">
        <f t="shared" si="8"/>
        <v>0.98333333333333328</v>
      </c>
    </row>
    <row r="63" spans="1:10" outlineLevel="1">
      <c r="B63" s="18" t="s">
        <v>82</v>
      </c>
      <c r="C63" s="13">
        <v>3</v>
      </c>
      <c r="D63" s="19"/>
      <c r="E63" s="15">
        <f t="shared" si="13"/>
        <v>0.31111111111111112</v>
      </c>
      <c r="F63" s="15">
        <f t="shared" si="6"/>
        <v>0.24454148471615722</v>
      </c>
      <c r="G63" s="30"/>
      <c r="H63" s="30">
        <v>42790</v>
      </c>
      <c r="I63" s="9" t="str">
        <f t="shared" si="7"/>
        <v/>
      </c>
      <c r="J63" s="38" t="str">
        <f t="shared" si="8"/>
        <v/>
      </c>
    </row>
    <row r="64" spans="1:10" outlineLevel="1">
      <c r="B64" s="18" t="s">
        <v>83</v>
      </c>
      <c r="C64" s="13">
        <v>1</v>
      </c>
      <c r="D64" s="19"/>
      <c r="E64" s="15">
        <f t="shared" si="13"/>
        <v>0.32222222222222224</v>
      </c>
      <c r="F64" s="15">
        <f t="shared" si="6"/>
        <v>0.24599708879184864</v>
      </c>
      <c r="G64" s="30"/>
      <c r="H64" s="30">
        <v>42790</v>
      </c>
      <c r="I64" s="9" t="str">
        <f t="shared" si="7"/>
        <v/>
      </c>
      <c r="J64" s="38" t="str">
        <f t="shared" si="8"/>
        <v/>
      </c>
    </row>
    <row r="65" spans="1:10" outlineLevel="1">
      <c r="B65" s="18" t="s">
        <v>84</v>
      </c>
      <c r="C65" s="13">
        <v>1</v>
      </c>
      <c r="D65" s="19"/>
      <c r="E65" s="15">
        <f t="shared" si="13"/>
        <v>0.33333333333333337</v>
      </c>
      <c r="F65" s="15">
        <f t="shared" si="6"/>
        <v>0.24745269286754007</v>
      </c>
      <c r="G65" s="30"/>
      <c r="H65" s="30">
        <v>42790</v>
      </c>
      <c r="I65" s="9" t="str">
        <f t="shared" si="7"/>
        <v/>
      </c>
      <c r="J65" s="38" t="str">
        <f t="shared" si="8"/>
        <v/>
      </c>
    </row>
    <row r="66" spans="1:10" outlineLevel="1">
      <c r="B66" s="18" t="s">
        <v>85</v>
      </c>
      <c r="C66" s="13">
        <v>2</v>
      </c>
      <c r="D66" s="19"/>
      <c r="E66" s="15">
        <f t="shared" si="13"/>
        <v>0.35555555555555557</v>
      </c>
      <c r="F66" s="15">
        <f t="shared" si="6"/>
        <v>0.25036390101892292</v>
      </c>
      <c r="G66" s="30"/>
      <c r="H66" s="30">
        <v>42790</v>
      </c>
      <c r="I66" s="9" t="str">
        <f t="shared" si="7"/>
        <v/>
      </c>
      <c r="J66" s="38" t="str">
        <f t="shared" si="8"/>
        <v/>
      </c>
    </row>
    <row r="67" spans="1:10" outlineLevel="1">
      <c r="B67" s="18" t="s">
        <v>86</v>
      </c>
      <c r="C67" s="13">
        <v>2</v>
      </c>
      <c r="D67" s="19"/>
      <c r="E67" s="15">
        <f t="shared" si="13"/>
        <v>0.37777777777777777</v>
      </c>
      <c r="F67" s="15">
        <f t="shared" si="6"/>
        <v>0.25327510917030577</v>
      </c>
      <c r="G67" s="30"/>
      <c r="H67" s="30">
        <v>42790</v>
      </c>
      <c r="I67" s="9" t="str">
        <f t="shared" si="7"/>
        <v/>
      </c>
      <c r="J67" s="38" t="str">
        <f t="shared" si="8"/>
        <v/>
      </c>
    </row>
    <row r="68" spans="1:10" outlineLevel="1">
      <c r="B68" s="18" t="s">
        <v>87</v>
      </c>
      <c r="C68" s="13">
        <v>3</v>
      </c>
      <c r="D68" s="19"/>
      <c r="E68" s="15">
        <f t="shared" si="13"/>
        <v>0.41111111111111109</v>
      </c>
      <c r="F68" s="15">
        <f t="shared" si="6"/>
        <v>0.25764192139738001</v>
      </c>
      <c r="G68" s="30"/>
      <c r="H68" s="30">
        <v>42790</v>
      </c>
      <c r="I68" s="9" t="str">
        <f t="shared" si="7"/>
        <v/>
      </c>
      <c r="J68" s="38" t="str">
        <f t="shared" si="8"/>
        <v/>
      </c>
    </row>
    <row r="69" spans="1:10" outlineLevel="1">
      <c r="B69" s="18" t="s">
        <v>88</v>
      </c>
      <c r="C69" s="13">
        <v>2</v>
      </c>
      <c r="D69" s="19"/>
      <c r="E69" s="15">
        <f t="shared" si="13"/>
        <v>0.43333333333333329</v>
      </c>
      <c r="F69" s="15">
        <f t="shared" si="6"/>
        <v>0.26055312954876286</v>
      </c>
      <c r="G69" s="30"/>
      <c r="H69" s="30">
        <v>42790</v>
      </c>
      <c r="I69" s="9" t="str">
        <f t="shared" si="7"/>
        <v/>
      </c>
      <c r="J69" s="38" t="str">
        <f t="shared" si="8"/>
        <v/>
      </c>
    </row>
    <row r="70" spans="1:10" outlineLevel="1">
      <c r="B70" s="18" t="s">
        <v>89</v>
      </c>
      <c r="C70" s="13">
        <v>2</v>
      </c>
      <c r="D70" s="19"/>
      <c r="E70" s="15">
        <f t="shared" si="13"/>
        <v>0.45555555555555549</v>
      </c>
      <c r="F70" s="15">
        <f t="shared" si="6"/>
        <v>0.26346433770014571</v>
      </c>
      <c r="G70" s="30"/>
      <c r="H70" s="30">
        <v>42790</v>
      </c>
      <c r="I70" s="9" t="str">
        <f t="shared" si="7"/>
        <v/>
      </c>
      <c r="J70" s="38" t="str">
        <f t="shared" si="8"/>
        <v/>
      </c>
    </row>
    <row r="71" spans="1:10" outlineLevel="1">
      <c r="B71" s="18" t="s">
        <v>90</v>
      </c>
      <c r="C71" s="13">
        <v>3</v>
      </c>
      <c r="D71" s="19"/>
      <c r="E71" s="15">
        <f t="shared" si="13"/>
        <v>0.48888888888888882</v>
      </c>
      <c r="F71" s="15">
        <f t="shared" si="6"/>
        <v>0.26783114992721996</v>
      </c>
      <c r="G71" s="30"/>
      <c r="H71" s="30">
        <v>42790</v>
      </c>
      <c r="I71" s="9" t="str">
        <f t="shared" si="7"/>
        <v/>
      </c>
      <c r="J71" s="38" t="str">
        <f t="shared" si="8"/>
        <v/>
      </c>
    </row>
    <row r="72" spans="1:10" outlineLevel="1">
      <c r="B72" s="18" t="s">
        <v>91</v>
      </c>
      <c r="C72" s="13">
        <v>7</v>
      </c>
      <c r="D72" s="19"/>
      <c r="E72" s="15">
        <f t="shared" si="13"/>
        <v>0.56666666666666665</v>
      </c>
      <c r="F72" s="15">
        <f t="shared" ref="F72:F135" si="14">F71+(C72/$C$197)</f>
        <v>0.27802037845705985</v>
      </c>
      <c r="G72" s="30"/>
      <c r="H72" s="30">
        <v>42790</v>
      </c>
      <c r="I72" s="9" t="str">
        <f t="shared" ref="I72:I135" si="15">IF(H72="", "", IF(ISBLANK(H73), IF(H72&lt;&gt;H74, SUMIF(H:H,H72,C:C), ""), IF(H72&lt;&gt;H73, SUMIF(H:H,H72,C:C), "")))</f>
        <v/>
      </c>
      <c r="J72" s="38" t="str">
        <f t="shared" ref="J72:J135" si="16">IF(I72&lt;&gt;"", I72/60, "")</f>
        <v/>
      </c>
    </row>
    <row r="73" spans="1:10" outlineLevel="1">
      <c r="B73" s="18" t="s">
        <v>92</v>
      </c>
      <c r="C73" s="13">
        <v>4</v>
      </c>
      <c r="D73" s="19"/>
      <c r="E73" s="15">
        <f t="shared" si="13"/>
        <v>0.61111111111111105</v>
      </c>
      <c r="F73" s="15">
        <f t="shared" si="14"/>
        <v>0.28384279475982549</v>
      </c>
      <c r="G73" s="30"/>
      <c r="H73" s="30">
        <v>42790</v>
      </c>
      <c r="I73" s="9" t="str">
        <f t="shared" si="15"/>
        <v/>
      </c>
      <c r="J73" s="38" t="str">
        <f t="shared" si="16"/>
        <v/>
      </c>
    </row>
    <row r="74" spans="1:10" outlineLevel="1">
      <c r="B74" s="18" t="s">
        <v>242</v>
      </c>
      <c r="C74" s="13">
        <v>5</v>
      </c>
      <c r="D74" s="19"/>
      <c r="E74" s="15">
        <f t="shared" si="13"/>
        <v>0.66666666666666663</v>
      </c>
      <c r="F74" s="15">
        <f t="shared" si="14"/>
        <v>0.29112081513828253</v>
      </c>
      <c r="G74" s="30"/>
      <c r="H74" s="30">
        <v>42790</v>
      </c>
      <c r="I74" s="9" t="str">
        <f t="shared" si="15"/>
        <v/>
      </c>
      <c r="J74" s="38" t="str">
        <f t="shared" si="16"/>
        <v/>
      </c>
    </row>
    <row r="75" spans="1:10" outlineLevel="1">
      <c r="B75" s="18" t="s">
        <v>94</v>
      </c>
      <c r="C75" s="13">
        <v>25</v>
      </c>
      <c r="D75" s="19"/>
      <c r="E75" s="15">
        <f t="shared" si="13"/>
        <v>0.94444444444444442</v>
      </c>
      <c r="F75" s="15">
        <f t="shared" si="14"/>
        <v>0.32751091703056784</v>
      </c>
      <c r="G75" s="30"/>
      <c r="H75" s="30">
        <v>42790</v>
      </c>
      <c r="I75" s="9" t="str">
        <f t="shared" si="15"/>
        <v/>
      </c>
      <c r="J75" s="38" t="str">
        <f t="shared" si="16"/>
        <v/>
      </c>
    </row>
    <row r="76" spans="1:10" ht="15.75" outlineLevel="1" thickBot="1">
      <c r="B76" s="18" t="s">
        <v>95</v>
      </c>
      <c r="C76" s="14">
        <v>5</v>
      </c>
      <c r="D76" s="19"/>
      <c r="E76" s="15">
        <f t="shared" si="13"/>
        <v>1</v>
      </c>
      <c r="F76" s="15">
        <f t="shared" si="14"/>
        <v>0.33478893740902488</v>
      </c>
      <c r="G76" s="30"/>
      <c r="H76" s="30">
        <v>42790</v>
      </c>
      <c r="I76" s="9">
        <f t="shared" si="15"/>
        <v>65</v>
      </c>
      <c r="J76" s="38">
        <f t="shared" si="16"/>
        <v>1.0833333333333333</v>
      </c>
    </row>
    <row r="77" spans="1:10" ht="21" thickBot="1">
      <c r="A77" s="28" t="s">
        <v>236</v>
      </c>
      <c r="B77" s="25"/>
      <c r="C77" s="26"/>
      <c r="D77" s="20">
        <f>SUM(C77:C102)</f>
        <v>79</v>
      </c>
      <c r="E77" s="27"/>
      <c r="F77" s="29">
        <f t="shared" si="14"/>
        <v>0.33478893740902488</v>
      </c>
      <c r="G77" s="41" t="str">
        <f>IF(COUNTA(G78:G101)=COUNTA(B78:B101), "COMPLETE", "")</f>
        <v/>
      </c>
      <c r="I77" s="9" t="str">
        <f t="shared" si="15"/>
        <v/>
      </c>
      <c r="J77" s="38" t="str">
        <f t="shared" si="16"/>
        <v/>
      </c>
    </row>
    <row r="78" spans="1:10" ht="15.75" outlineLevel="1" thickBot="1">
      <c r="B78" s="18" t="s">
        <v>98</v>
      </c>
      <c r="C78" s="13">
        <v>3</v>
      </c>
      <c r="D78" s="21">
        <f>D77/60</f>
        <v>1.3166666666666667</v>
      </c>
      <c r="E78" s="15">
        <f>E77+(C78/$D$77)</f>
        <v>3.7974683544303799E-2</v>
      </c>
      <c r="F78" s="15">
        <f t="shared" si="14"/>
        <v>0.33915574963609912</v>
      </c>
      <c r="G78" s="30"/>
      <c r="H78" s="30">
        <v>42791</v>
      </c>
      <c r="I78" s="9" t="str">
        <f t="shared" si="15"/>
        <v/>
      </c>
      <c r="J78" s="38" t="str">
        <f t="shared" si="16"/>
        <v/>
      </c>
    </row>
    <row r="79" spans="1:10" outlineLevel="1">
      <c r="B79" s="18" t="s">
        <v>99</v>
      </c>
      <c r="C79" s="13">
        <v>4</v>
      </c>
      <c r="D79" s="19"/>
      <c r="E79" s="15">
        <f>E78+(C79/$D$77)</f>
        <v>8.8607594936708861E-2</v>
      </c>
      <c r="F79" s="15">
        <f t="shared" si="14"/>
        <v>0.34497816593886477</v>
      </c>
      <c r="G79" s="30"/>
      <c r="H79" s="30">
        <v>42791</v>
      </c>
      <c r="I79" s="9" t="str">
        <f t="shared" si="15"/>
        <v/>
      </c>
      <c r="J79" s="38" t="str">
        <f t="shared" si="16"/>
        <v/>
      </c>
    </row>
    <row r="80" spans="1:10" outlineLevel="1">
      <c r="B80" s="18" t="s">
        <v>100</v>
      </c>
      <c r="C80" s="13">
        <v>6</v>
      </c>
      <c r="D80" s="19"/>
      <c r="E80" s="15">
        <f t="shared" ref="E80:E101" si="17">E79+(C80/$D$77)</f>
        <v>0.16455696202531644</v>
      </c>
      <c r="F80" s="15">
        <f t="shared" si="14"/>
        <v>0.35371179039301326</v>
      </c>
      <c r="G80" s="30"/>
      <c r="H80" s="30">
        <v>42791</v>
      </c>
      <c r="I80" s="9" t="str">
        <f t="shared" si="15"/>
        <v/>
      </c>
      <c r="J80" s="38" t="str">
        <f t="shared" si="16"/>
        <v/>
      </c>
    </row>
    <row r="81" spans="2:10" outlineLevel="1">
      <c r="B81" s="18" t="s">
        <v>101</v>
      </c>
      <c r="C81" s="13">
        <v>3</v>
      </c>
      <c r="D81" s="19"/>
      <c r="E81" s="15">
        <f t="shared" si="17"/>
        <v>0.20253164556962025</v>
      </c>
      <c r="F81" s="15">
        <f t="shared" si="14"/>
        <v>0.3580786026200875</v>
      </c>
      <c r="G81" s="30"/>
      <c r="H81" s="30">
        <v>42791</v>
      </c>
      <c r="I81" s="9" t="str">
        <f t="shared" si="15"/>
        <v/>
      </c>
      <c r="J81" s="38" t="str">
        <f t="shared" si="16"/>
        <v/>
      </c>
    </row>
    <row r="82" spans="2:10" outlineLevel="1">
      <c r="B82" s="18" t="s">
        <v>102</v>
      </c>
      <c r="C82" s="13">
        <v>3</v>
      </c>
      <c r="D82" s="19"/>
      <c r="E82" s="15">
        <f t="shared" si="17"/>
        <v>0.24050632911392406</v>
      </c>
      <c r="F82" s="15">
        <f t="shared" si="14"/>
        <v>0.36244541484716175</v>
      </c>
      <c r="G82" s="30"/>
      <c r="H82" s="30">
        <v>42791</v>
      </c>
      <c r="I82" s="9" t="str">
        <f t="shared" si="15"/>
        <v/>
      </c>
      <c r="J82" s="38" t="str">
        <f t="shared" si="16"/>
        <v/>
      </c>
    </row>
    <row r="83" spans="2:10" outlineLevel="1">
      <c r="B83" s="18" t="s">
        <v>103</v>
      </c>
      <c r="C83" s="13">
        <v>3</v>
      </c>
      <c r="D83" s="19"/>
      <c r="E83" s="15">
        <f t="shared" si="17"/>
        <v>0.27848101265822783</v>
      </c>
      <c r="F83" s="15">
        <f t="shared" si="14"/>
        <v>0.366812227074236</v>
      </c>
      <c r="G83" s="30"/>
      <c r="H83" s="30">
        <v>42791</v>
      </c>
      <c r="I83" s="9" t="str">
        <f t="shared" si="15"/>
        <v/>
      </c>
      <c r="J83" s="38" t="str">
        <f t="shared" si="16"/>
        <v/>
      </c>
    </row>
    <row r="84" spans="2:10" outlineLevel="1">
      <c r="B84" s="18" t="s">
        <v>104</v>
      </c>
      <c r="C84" s="13">
        <v>2</v>
      </c>
      <c r="D84" s="19"/>
      <c r="E84" s="15">
        <f t="shared" si="17"/>
        <v>0.30379746835443039</v>
      </c>
      <c r="F84" s="15">
        <f t="shared" si="14"/>
        <v>0.36972343522561885</v>
      </c>
      <c r="G84" s="30"/>
      <c r="H84" s="30">
        <v>42791</v>
      </c>
      <c r="I84" s="9" t="str">
        <f t="shared" si="15"/>
        <v/>
      </c>
      <c r="J84" s="38" t="str">
        <f t="shared" si="16"/>
        <v/>
      </c>
    </row>
    <row r="85" spans="2:10" outlineLevel="1">
      <c r="B85" s="18" t="s">
        <v>105</v>
      </c>
      <c r="C85" s="13">
        <v>5</v>
      </c>
      <c r="D85" s="19"/>
      <c r="E85" s="15">
        <f t="shared" si="17"/>
        <v>0.36708860759493672</v>
      </c>
      <c r="F85" s="15">
        <f t="shared" si="14"/>
        <v>0.37700145560407589</v>
      </c>
      <c r="G85" s="30"/>
      <c r="H85" s="30">
        <v>42791</v>
      </c>
      <c r="I85" s="9" t="str">
        <f t="shared" si="15"/>
        <v/>
      </c>
      <c r="J85" s="38" t="str">
        <f t="shared" si="16"/>
        <v/>
      </c>
    </row>
    <row r="86" spans="2:10" outlineLevel="1">
      <c r="B86" s="18" t="s">
        <v>106</v>
      </c>
      <c r="C86" s="13">
        <v>7</v>
      </c>
      <c r="D86" s="19"/>
      <c r="E86" s="15">
        <f t="shared" si="17"/>
        <v>0.45569620253164556</v>
      </c>
      <c r="F86" s="15">
        <f t="shared" si="14"/>
        <v>0.38719068413391577</v>
      </c>
      <c r="G86" s="30"/>
      <c r="H86" s="30">
        <v>42791</v>
      </c>
      <c r="I86" s="9" t="str">
        <f t="shared" si="15"/>
        <v/>
      </c>
      <c r="J86" s="38" t="str">
        <f t="shared" si="16"/>
        <v/>
      </c>
    </row>
    <row r="87" spans="2:10" outlineLevel="1">
      <c r="B87" s="18" t="s">
        <v>107</v>
      </c>
      <c r="C87" s="13">
        <v>4</v>
      </c>
      <c r="D87" s="19"/>
      <c r="E87" s="15">
        <f t="shared" si="17"/>
        <v>0.50632911392405067</v>
      </c>
      <c r="F87" s="15">
        <f t="shared" si="14"/>
        <v>0.39301310043668142</v>
      </c>
      <c r="G87" s="30"/>
      <c r="H87" s="30">
        <v>42791</v>
      </c>
      <c r="I87" s="9" t="str">
        <f t="shared" si="15"/>
        <v/>
      </c>
      <c r="J87" s="38" t="str">
        <f t="shared" si="16"/>
        <v/>
      </c>
    </row>
    <row r="88" spans="2:10" outlineLevel="1">
      <c r="B88" s="18" t="s">
        <v>108</v>
      </c>
      <c r="C88" s="13">
        <v>4</v>
      </c>
      <c r="D88" s="19"/>
      <c r="E88" s="15">
        <f t="shared" si="17"/>
        <v>0.55696202531645578</v>
      </c>
      <c r="F88" s="15">
        <f t="shared" si="14"/>
        <v>0.39883551673944706</v>
      </c>
      <c r="G88" s="30"/>
      <c r="H88" s="30">
        <v>42791</v>
      </c>
      <c r="I88" s="9" t="str">
        <f t="shared" si="15"/>
        <v/>
      </c>
      <c r="J88" s="38" t="str">
        <f t="shared" si="16"/>
        <v/>
      </c>
    </row>
    <row r="89" spans="2:10" outlineLevel="1">
      <c r="B89" s="18" t="s">
        <v>109</v>
      </c>
      <c r="C89" s="13">
        <v>1</v>
      </c>
      <c r="D89" s="19"/>
      <c r="E89" s="15">
        <f t="shared" si="17"/>
        <v>0.569620253164557</v>
      </c>
      <c r="F89" s="15">
        <f t="shared" si="14"/>
        <v>0.40029112081513846</v>
      </c>
      <c r="G89" s="30"/>
      <c r="H89" s="30">
        <v>42791</v>
      </c>
      <c r="I89" s="9" t="str">
        <f t="shared" si="15"/>
        <v/>
      </c>
      <c r="J89" s="38" t="str">
        <f t="shared" si="16"/>
        <v/>
      </c>
    </row>
    <row r="90" spans="2:10" outlineLevel="1">
      <c r="B90" s="18" t="s">
        <v>110</v>
      </c>
      <c r="C90" s="13">
        <v>2</v>
      </c>
      <c r="D90" s="19"/>
      <c r="E90" s="15">
        <f t="shared" si="17"/>
        <v>0.59493670886075956</v>
      </c>
      <c r="F90" s="15">
        <f t="shared" si="14"/>
        <v>0.40320232896652131</v>
      </c>
      <c r="G90" s="30"/>
      <c r="H90" s="30">
        <v>42791</v>
      </c>
      <c r="I90" s="9" t="str">
        <f t="shared" si="15"/>
        <v/>
      </c>
      <c r="J90" s="38" t="str">
        <f t="shared" si="16"/>
        <v/>
      </c>
    </row>
    <row r="91" spans="2:10" outlineLevel="1">
      <c r="B91" s="18" t="s">
        <v>111</v>
      </c>
      <c r="C91" s="13">
        <v>2</v>
      </c>
      <c r="D91" s="19"/>
      <c r="E91" s="15">
        <f t="shared" si="17"/>
        <v>0.62025316455696211</v>
      </c>
      <c r="F91" s="15">
        <f t="shared" si="14"/>
        <v>0.40611353711790416</v>
      </c>
      <c r="G91" s="30"/>
      <c r="H91" s="30">
        <v>42791</v>
      </c>
      <c r="I91" s="9" t="str">
        <f t="shared" si="15"/>
        <v/>
      </c>
      <c r="J91" s="38" t="str">
        <f t="shared" si="16"/>
        <v/>
      </c>
    </row>
    <row r="92" spans="2:10" outlineLevel="1">
      <c r="B92" s="18" t="s">
        <v>112</v>
      </c>
      <c r="C92" s="13">
        <v>3</v>
      </c>
      <c r="D92" s="19"/>
      <c r="E92" s="15">
        <f t="shared" si="17"/>
        <v>0.65822784810126589</v>
      </c>
      <c r="F92" s="15">
        <f t="shared" si="14"/>
        <v>0.4104803493449784</v>
      </c>
      <c r="G92" s="30"/>
      <c r="H92" s="30">
        <v>42791</v>
      </c>
      <c r="I92" s="9" t="str">
        <f t="shared" si="15"/>
        <v/>
      </c>
      <c r="J92" s="38" t="str">
        <f t="shared" si="16"/>
        <v/>
      </c>
    </row>
    <row r="93" spans="2:10" outlineLevel="1">
      <c r="B93" s="18" t="s">
        <v>113</v>
      </c>
      <c r="C93" s="13">
        <v>5</v>
      </c>
      <c r="D93" s="19"/>
      <c r="E93" s="15">
        <f t="shared" si="17"/>
        <v>0.72151898734177222</v>
      </c>
      <c r="F93" s="15">
        <f t="shared" si="14"/>
        <v>0.41775836972343544</v>
      </c>
      <c r="G93" s="30"/>
      <c r="H93" s="30">
        <v>42791</v>
      </c>
      <c r="I93" s="9">
        <f t="shared" si="15"/>
        <v>57</v>
      </c>
      <c r="J93" s="38">
        <f t="shared" si="16"/>
        <v>0.95</v>
      </c>
    </row>
    <row r="94" spans="2:10" outlineLevel="1">
      <c r="B94" s="18" t="s">
        <v>114</v>
      </c>
      <c r="C94" s="13">
        <v>4</v>
      </c>
      <c r="D94" s="19"/>
      <c r="E94" s="15">
        <f t="shared" si="17"/>
        <v>0.77215189873417733</v>
      </c>
      <c r="F94" s="15">
        <f t="shared" si="14"/>
        <v>0.42358078602620108</v>
      </c>
      <c r="G94" s="30"/>
      <c r="H94" s="30">
        <v>42792</v>
      </c>
      <c r="I94" s="9" t="str">
        <f t="shared" si="15"/>
        <v/>
      </c>
      <c r="J94" s="38" t="str">
        <f t="shared" si="16"/>
        <v/>
      </c>
    </row>
    <row r="95" spans="2:10" outlineLevel="1">
      <c r="B95" s="18" t="s">
        <v>115</v>
      </c>
      <c r="C95" s="13">
        <v>4</v>
      </c>
      <c r="D95" s="19"/>
      <c r="E95" s="15">
        <f t="shared" si="17"/>
        <v>0.82278481012658244</v>
      </c>
      <c r="F95" s="15">
        <f t="shared" si="14"/>
        <v>0.42940320232896673</v>
      </c>
      <c r="G95" s="30"/>
      <c r="H95" s="30">
        <v>42792</v>
      </c>
      <c r="I95" s="9" t="str">
        <f t="shared" si="15"/>
        <v/>
      </c>
      <c r="J95" s="38" t="str">
        <f t="shared" si="16"/>
        <v/>
      </c>
    </row>
    <row r="96" spans="2:10" outlineLevel="1">
      <c r="B96" s="18" t="s">
        <v>116</v>
      </c>
      <c r="C96" s="13">
        <v>2</v>
      </c>
      <c r="D96" s="19"/>
      <c r="E96" s="15">
        <f t="shared" si="17"/>
        <v>0.848101265822785</v>
      </c>
      <c r="F96" s="15">
        <f t="shared" si="14"/>
        <v>0.43231441048034958</v>
      </c>
      <c r="G96" s="30"/>
      <c r="H96" s="30">
        <v>42792</v>
      </c>
      <c r="I96" s="9" t="str">
        <f t="shared" si="15"/>
        <v/>
      </c>
      <c r="J96" s="38" t="str">
        <f t="shared" si="16"/>
        <v/>
      </c>
    </row>
    <row r="97" spans="1:10" outlineLevel="1">
      <c r="B97" s="18" t="s">
        <v>117</v>
      </c>
      <c r="C97" s="13">
        <v>2</v>
      </c>
      <c r="D97" s="19"/>
      <c r="E97" s="15">
        <f t="shared" si="17"/>
        <v>0.87341772151898756</v>
      </c>
      <c r="F97" s="15">
        <f t="shared" si="14"/>
        <v>0.43522561863173242</v>
      </c>
      <c r="G97" s="30"/>
      <c r="H97" s="30">
        <v>42792</v>
      </c>
      <c r="I97" s="9" t="str">
        <f t="shared" si="15"/>
        <v/>
      </c>
      <c r="J97" s="38" t="str">
        <f t="shared" si="16"/>
        <v/>
      </c>
    </row>
    <row r="98" spans="1:10" outlineLevel="1">
      <c r="B98" s="18" t="s">
        <v>118</v>
      </c>
      <c r="C98" s="13">
        <v>2</v>
      </c>
      <c r="D98" s="19"/>
      <c r="E98" s="15">
        <f t="shared" si="17"/>
        <v>0.89873417721519011</v>
      </c>
      <c r="F98" s="15">
        <f t="shared" si="14"/>
        <v>0.43813682678311527</v>
      </c>
      <c r="G98" s="30"/>
      <c r="H98" s="30">
        <v>42792</v>
      </c>
      <c r="I98" s="9" t="str">
        <f t="shared" si="15"/>
        <v/>
      </c>
      <c r="J98" s="38" t="str">
        <f t="shared" si="16"/>
        <v/>
      </c>
    </row>
    <row r="99" spans="1:10" outlineLevel="1">
      <c r="B99" s="18" t="s">
        <v>119</v>
      </c>
      <c r="C99" s="13">
        <v>1</v>
      </c>
      <c r="D99" s="19"/>
      <c r="E99" s="15">
        <f t="shared" si="17"/>
        <v>0.91139240506329133</v>
      </c>
      <c r="F99" s="15">
        <f t="shared" si="14"/>
        <v>0.43959243085880667</v>
      </c>
      <c r="G99" s="30"/>
      <c r="H99" s="30">
        <v>42792</v>
      </c>
      <c r="I99" s="9" t="str">
        <f t="shared" si="15"/>
        <v/>
      </c>
      <c r="J99" s="38" t="str">
        <f t="shared" si="16"/>
        <v/>
      </c>
    </row>
    <row r="100" spans="1:10" outlineLevel="1">
      <c r="B100" s="18" t="s">
        <v>120</v>
      </c>
      <c r="C100" s="13">
        <v>2</v>
      </c>
      <c r="D100" s="19"/>
      <c r="E100" s="15">
        <f t="shared" si="17"/>
        <v>0.93670886075949389</v>
      </c>
      <c r="F100" s="15">
        <f t="shared" si="14"/>
        <v>0.44250363901018952</v>
      </c>
      <c r="G100" s="30"/>
      <c r="H100" s="30">
        <v>42792</v>
      </c>
      <c r="I100" s="9" t="str">
        <f t="shared" si="15"/>
        <v/>
      </c>
      <c r="J100" s="38" t="str">
        <f t="shared" si="16"/>
        <v/>
      </c>
    </row>
    <row r="101" spans="1:10" ht="15.75" outlineLevel="1" thickBot="1">
      <c r="B101" s="18" t="s">
        <v>121</v>
      </c>
      <c r="C101" s="14">
        <v>5</v>
      </c>
      <c r="D101" s="19"/>
      <c r="E101" s="15">
        <f t="shared" si="17"/>
        <v>1.0000000000000002</v>
      </c>
      <c r="F101" s="15">
        <f t="shared" si="14"/>
        <v>0.44978165938864656</v>
      </c>
      <c r="G101" s="30"/>
      <c r="H101" s="30">
        <v>42792</v>
      </c>
      <c r="I101" s="9" t="str">
        <f t="shared" si="15"/>
        <v/>
      </c>
      <c r="J101" s="38" t="str">
        <f t="shared" si="16"/>
        <v/>
      </c>
    </row>
    <row r="102" spans="1:10" ht="21" thickBot="1">
      <c r="A102" s="28" t="s">
        <v>237</v>
      </c>
      <c r="B102" s="25"/>
      <c r="C102" s="26"/>
      <c r="D102" s="20">
        <f>SUM(C102:C117)</f>
        <v>40</v>
      </c>
      <c r="E102" s="27"/>
      <c r="F102" s="29">
        <f t="shared" si="14"/>
        <v>0.44978165938864656</v>
      </c>
      <c r="G102" s="41" t="str">
        <f>IF(COUNTA(G103:G116)=COUNTA(B103:B116), "COMPLETE", "")</f>
        <v/>
      </c>
      <c r="I102" s="9" t="str">
        <f t="shared" si="15"/>
        <v/>
      </c>
      <c r="J102" s="38" t="str">
        <f t="shared" si="16"/>
        <v/>
      </c>
    </row>
    <row r="103" spans="1:10" ht="15.75" outlineLevel="1" thickBot="1">
      <c r="B103" s="18" t="s">
        <v>124</v>
      </c>
      <c r="C103" s="13">
        <v>4</v>
      </c>
      <c r="D103" s="21">
        <f>D102/60</f>
        <v>0.66666666666666663</v>
      </c>
      <c r="E103" s="15">
        <f>E102+(C103/$D$102)</f>
        <v>0.1</v>
      </c>
      <c r="F103" s="15">
        <f t="shared" si="14"/>
        <v>0.4556040756914122</v>
      </c>
      <c r="G103" s="30"/>
      <c r="H103" s="30">
        <v>42792</v>
      </c>
      <c r="I103" s="9" t="str">
        <f t="shared" si="15"/>
        <v/>
      </c>
      <c r="J103" s="38" t="str">
        <f t="shared" si="16"/>
        <v/>
      </c>
    </row>
    <row r="104" spans="1:10" outlineLevel="1">
      <c r="B104" s="18" t="s">
        <v>125</v>
      </c>
      <c r="C104" s="13">
        <v>2</v>
      </c>
      <c r="D104" s="19"/>
      <c r="E104" s="15">
        <f t="shared" ref="E104" si="18">E103+(C104/$D$102)</f>
        <v>0.15000000000000002</v>
      </c>
      <c r="F104" s="15">
        <f t="shared" si="14"/>
        <v>0.45851528384279505</v>
      </c>
      <c r="G104" s="30"/>
      <c r="H104" s="30">
        <v>42792</v>
      </c>
      <c r="I104" s="9" t="str">
        <f t="shared" si="15"/>
        <v/>
      </c>
      <c r="J104" s="38" t="str">
        <f t="shared" si="16"/>
        <v/>
      </c>
    </row>
    <row r="105" spans="1:10" outlineLevel="1">
      <c r="B105" s="18" t="s">
        <v>126</v>
      </c>
      <c r="C105" s="13">
        <v>3</v>
      </c>
      <c r="D105" s="19"/>
      <c r="E105" s="15">
        <f t="shared" ref="E105:E116" si="19">E104+(C105/$D$102)</f>
        <v>0.22500000000000003</v>
      </c>
      <c r="F105" s="15">
        <f t="shared" si="14"/>
        <v>0.4628820960698693</v>
      </c>
      <c r="G105" s="30"/>
      <c r="H105" s="30">
        <v>42792</v>
      </c>
      <c r="I105" s="9" t="str">
        <f t="shared" si="15"/>
        <v/>
      </c>
      <c r="J105" s="38" t="str">
        <f t="shared" si="16"/>
        <v/>
      </c>
    </row>
    <row r="106" spans="1:10" outlineLevel="1">
      <c r="B106" s="18" t="s">
        <v>127</v>
      </c>
      <c r="C106" s="13">
        <v>1</v>
      </c>
      <c r="D106" s="19"/>
      <c r="E106" s="15">
        <f t="shared" si="19"/>
        <v>0.25000000000000006</v>
      </c>
      <c r="F106" s="15">
        <f t="shared" si="14"/>
        <v>0.46433770014556069</v>
      </c>
      <c r="G106" s="30"/>
      <c r="H106" s="30">
        <v>42792</v>
      </c>
      <c r="I106" s="9" t="str">
        <f t="shared" si="15"/>
        <v/>
      </c>
      <c r="J106" s="38" t="str">
        <f t="shared" si="16"/>
        <v/>
      </c>
    </row>
    <row r="107" spans="1:10" outlineLevel="1">
      <c r="B107" s="18" t="s">
        <v>128</v>
      </c>
      <c r="C107" s="13">
        <v>3</v>
      </c>
      <c r="D107" s="19"/>
      <c r="E107" s="15">
        <f t="shared" si="19"/>
        <v>0.32500000000000007</v>
      </c>
      <c r="F107" s="15">
        <f t="shared" si="14"/>
        <v>0.46870451237263494</v>
      </c>
      <c r="G107" s="30"/>
      <c r="H107" s="30">
        <v>42792</v>
      </c>
      <c r="I107" s="9" t="str">
        <f t="shared" si="15"/>
        <v/>
      </c>
      <c r="J107" s="38" t="str">
        <f t="shared" si="16"/>
        <v/>
      </c>
    </row>
    <row r="108" spans="1:10" outlineLevel="1">
      <c r="B108" s="18" t="s">
        <v>129</v>
      </c>
      <c r="C108" s="13">
        <v>2</v>
      </c>
      <c r="D108" s="19"/>
      <c r="E108" s="15">
        <f t="shared" si="19"/>
        <v>0.37500000000000006</v>
      </c>
      <c r="F108" s="15">
        <f t="shared" si="14"/>
        <v>0.47161572052401779</v>
      </c>
      <c r="G108" s="30"/>
      <c r="H108" s="30">
        <v>42792</v>
      </c>
      <c r="I108" s="9" t="str">
        <f t="shared" si="15"/>
        <v/>
      </c>
      <c r="J108" s="38" t="str">
        <f t="shared" si="16"/>
        <v/>
      </c>
    </row>
    <row r="109" spans="1:10" outlineLevel="1">
      <c r="B109" s="18" t="s">
        <v>130</v>
      </c>
      <c r="C109" s="13">
        <v>3</v>
      </c>
      <c r="D109" s="19"/>
      <c r="E109" s="15">
        <f t="shared" si="19"/>
        <v>0.45000000000000007</v>
      </c>
      <c r="F109" s="15">
        <f t="shared" si="14"/>
        <v>0.47598253275109204</v>
      </c>
      <c r="G109" s="30"/>
      <c r="H109" s="30">
        <v>42792</v>
      </c>
      <c r="I109" s="9" t="str">
        <f t="shared" si="15"/>
        <v/>
      </c>
      <c r="J109" s="38" t="str">
        <f t="shared" si="16"/>
        <v/>
      </c>
    </row>
    <row r="110" spans="1:10" outlineLevel="1">
      <c r="B110" s="18" t="s">
        <v>131</v>
      </c>
      <c r="C110" s="13">
        <v>2</v>
      </c>
      <c r="D110" s="19"/>
      <c r="E110" s="15">
        <f t="shared" si="19"/>
        <v>0.50000000000000011</v>
      </c>
      <c r="F110" s="15">
        <f t="shared" si="14"/>
        <v>0.47889374090247488</v>
      </c>
      <c r="G110" s="30"/>
      <c r="H110" s="30">
        <v>42792</v>
      </c>
      <c r="I110" s="9" t="str">
        <f t="shared" si="15"/>
        <v/>
      </c>
      <c r="J110" s="38" t="str">
        <f t="shared" si="16"/>
        <v/>
      </c>
    </row>
    <row r="111" spans="1:10" outlineLevel="1">
      <c r="B111" s="18" t="s">
        <v>132</v>
      </c>
      <c r="C111" s="13">
        <v>1</v>
      </c>
      <c r="D111" s="19"/>
      <c r="E111" s="15">
        <f t="shared" si="19"/>
        <v>0.52500000000000013</v>
      </c>
      <c r="F111" s="15">
        <f t="shared" si="14"/>
        <v>0.48034934497816628</v>
      </c>
      <c r="G111" s="30"/>
      <c r="H111" s="30">
        <v>42792</v>
      </c>
      <c r="I111" s="9" t="str">
        <f t="shared" si="15"/>
        <v/>
      </c>
      <c r="J111" s="38" t="str">
        <f t="shared" si="16"/>
        <v/>
      </c>
    </row>
    <row r="112" spans="1:10" outlineLevel="1">
      <c r="B112" s="18" t="s">
        <v>133</v>
      </c>
      <c r="C112" s="13">
        <v>5</v>
      </c>
      <c r="D112" s="19"/>
      <c r="E112" s="15">
        <f t="shared" si="19"/>
        <v>0.65000000000000013</v>
      </c>
      <c r="F112" s="15">
        <f t="shared" si="14"/>
        <v>0.48762736535662332</v>
      </c>
      <c r="G112" s="30"/>
      <c r="H112" s="30">
        <v>42792</v>
      </c>
      <c r="I112" s="9" t="str">
        <f t="shared" si="15"/>
        <v/>
      </c>
      <c r="J112" s="38" t="str">
        <f t="shared" si="16"/>
        <v/>
      </c>
    </row>
    <row r="113" spans="1:10" outlineLevel="1">
      <c r="B113" s="18" t="s">
        <v>134</v>
      </c>
      <c r="C113" s="13">
        <v>3</v>
      </c>
      <c r="D113" s="19"/>
      <c r="E113" s="15">
        <f t="shared" si="19"/>
        <v>0.72500000000000009</v>
      </c>
      <c r="F113" s="15">
        <f t="shared" si="14"/>
        <v>0.49199417758369757</v>
      </c>
      <c r="G113" s="30"/>
      <c r="H113" s="30">
        <v>42792</v>
      </c>
      <c r="I113" s="9" t="str">
        <f t="shared" si="15"/>
        <v/>
      </c>
      <c r="J113" s="38" t="str">
        <f t="shared" si="16"/>
        <v/>
      </c>
    </row>
    <row r="114" spans="1:10" outlineLevel="1">
      <c r="B114" s="18" t="s">
        <v>135</v>
      </c>
      <c r="C114" s="13">
        <v>3</v>
      </c>
      <c r="D114" s="19"/>
      <c r="E114" s="15">
        <f t="shared" si="19"/>
        <v>0.8</v>
      </c>
      <c r="F114" s="15">
        <f t="shared" si="14"/>
        <v>0.49636098981077181</v>
      </c>
      <c r="G114" s="30"/>
      <c r="H114" s="30">
        <v>42792</v>
      </c>
      <c r="I114" s="9" t="str">
        <f t="shared" si="15"/>
        <v/>
      </c>
      <c r="J114" s="38" t="str">
        <f t="shared" si="16"/>
        <v/>
      </c>
    </row>
    <row r="115" spans="1:10" outlineLevel="1">
      <c r="B115" s="18" t="s">
        <v>136</v>
      </c>
      <c r="C115" s="13">
        <v>3</v>
      </c>
      <c r="D115" s="19"/>
      <c r="E115" s="15">
        <f t="shared" si="19"/>
        <v>0.875</v>
      </c>
      <c r="F115" s="15">
        <f t="shared" si="14"/>
        <v>0.50072780203784606</v>
      </c>
      <c r="G115" s="30"/>
      <c r="H115" s="30">
        <v>42792</v>
      </c>
      <c r="I115" s="9" t="str">
        <f t="shared" si="15"/>
        <v/>
      </c>
      <c r="J115" s="38" t="str">
        <f t="shared" si="16"/>
        <v/>
      </c>
    </row>
    <row r="116" spans="1:10" ht="15.75" outlineLevel="1" thickBot="1">
      <c r="B116" s="18" t="s">
        <v>137</v>
      </c>
      <c r="C116" s="14">
        <v>5</v>
      </c>
      <c r="D116" s="19"/>
      <c r="E116" s="15">
        <f t="shared" si="19"/>
        <v>1</v>
      </c>
      <c r="F116" s="15">
        <f t="shared" si="14"/>
        <v>0.5080058224163031</v>
      </c>
      <c r="G116" s="30"/>
      <c r="H116" s="30">
        <v>42792</v>
      </c>
      <c r="I116" s="9">
        <f t="shared" si="15"/>
        <v>62</v>
      </c>
      <c r="J116" s="38">
        <f t="shared" si="16"/>
        <v>1.0333333333333334</v>
      </c>
    </row>
    <row r="117" spans="1:10" ht="21" thickBot="1">
      <c r="A117" s="28" t="s">
        <v>238</v>
      </c>
      <c r="B117" s="25"/>
      <c r="C117" s="26"/>
      <c r="D117" s="20">
        <f>SUM(C117:C135)</f>
        <v>40</v>
      </c>
      <c r="E117" s="27"/>
      <c r="F117" s="29">
        <f t="shared" si="14"/>
        <v>0.5080058224163031</v>
      </c>
      <c r="G117" s="41" t="str">
        <f>IF(COUNTA(G118:G134)=COUNTA(B118:B134), "COMPLETE", "")</f>
        <v/>
      </c>
      <c r="I117" s="9" t="str">
        <f t="shared" si="15"/>
        <v/>
      </c>
      <c r="J117" s="38" t="str">
        <f t="shared" si="16"/>
        <v/>
      </c>
    </row>
    <row r="118" spans="1:10" ht="15.75" outlineLevel="1" thickBot="1">
      <c r="B118" s="18" t="s">
        <v>140</v>
      </c>
      <c r="C118" s="13">
        <v>5</v>
      </c>
      <c r="D118" s="21">
        <f>D117/60</f>
        <v>0.66666666666666663</v>
      </c>
      <c r="E118" s="15">
        <f t="shared" ref="E118:E134" si="20">E117+(C118/$D$117)</f>
        <v>0.125</v>
      </c>
      <c r="F118" s="15">
        <f t="shared" si="14"/>
        <v>0.51528384279476014</v>
      </c>
      <c r="G118" s="30"/>
      <c r="H118" s="30">
        <v>42793</v>
      </c>
      <c r="I118" s="9" t="str">
        <f t="shared" si="15"/>
        <v/>
      </c>
      <c r="J118" s="38" t="str">
        <f t="shared" si="16"/>
        <v/>
      </c>
    </row>
    <row r="119" spans="1:10" outlineLevel="1">
      <c r="B119" s="18" t="s">
        <v>141</v>
      </c>
      <c r="C119" s="13">
        <v>2</v>
      </c>
      <c r="D119" s="19"/>
      <c r="E119" s="15">
        <f t="shared" si="20"/>
        <v>0.17499999999999999</v>
      </c>
      <c r="F119" s="15">
        <f t="shared" si="14"/>
        <v>0.51819505094614293</v>
      </c>
      <c r="G119" s="30"/>
      <c r="H119" s="30">
        <v>42793</v>
      </c>
      <c r="I119" s="9" t="str">
        <f t="shared" si="15"/>
        <v/>
      </c>
      <c r="J119" s="38" t="str">
        <f t="shared" si="16"/>
        <v/>
      </c>
    </row>
    <row r="120" spans="1:10" outlineLevel="1">
      <c r="B120" s="18" t="s">
        <v>142</v>
      </c>
      <c r="C120" s="13">
        <v>3</v>
      </c>
      <c r="D120" s="19"/>
      <c r="E120" s="15">
        <f t="shared" si="20"/>
        <v>0.25</v>
      </c>
      <c r="F120" s="15">
        <f t="shared" si="14"/>
        <v>0.52256186317321718</v>
      </c>
      <c r="G120" s="30"/>
      <c r="H120" s="30">
        <v>42793</v>
      </c>
      <c r="I120" s="9" t="str">
        <f t="shared" si="15"/>
        <v/>
      </c>
      <c r="J120" s="38" t="str">
        <f t="shared" si="16"/>
        <v/>
      </c>
    </row>
    <row r="121" spans="1:10" outlineLevel="1">
      <c r="B121" s="18" t="s">
        <v>143</v>
      </c>
      <c r="C121" s="13">
        <v>2</v>
      </c>
      <c r="D121" s="19"/>
      <c r="E121" s="15">
        <f t="shared" si="20"/>
        <v>0.3</v>
      </c>
      <c r="F121" s="15">
        <f t="shared" si="14"/>
        <v>0.52547307132459997</v>
      </c>
      <c r="G121" s="30"/>
      <c r="H121" s="30">
        <v>42793</v>
      </c>
      <c r="I121" s="9" t="str">
        <f t="shared" si="15"/>
        <v/>
      </c>
      <c r="J121" s="38" t="str">
        <f t="shared" si="16"/>
        <v/>
      </c>
    </row>
    <row r="122" spans="1:10" outlineLevel="1">
      <c r="B122" s="18" t="s">
        <v>144</v>
      </c>
      <c r="C122" s="13">
        <v>4</v>
      </c>
      <c r="D122" s="19"/>
      <c r="E122" s="15">
        <f t="shared" si="20"/>
        <v>0.4</v>
      </c>
      <c r="F122" s="15">
        <f t="shared" si="14"/>
        <v>0.53129548762736567</v>
      </c>
      <c r="G122" s="30"/>
      <c r="H122" s="30">
        <v>42793</v>
      </c>
      <c r="I122" s="9" t="str">
        <f t="shared" si="15"/>
        <v/>
      </c>
      <c r="J122" s="38" t="str">
        <f t="shared" si="16"/>
        <v/>
      </c>
    </row>
    <row r="123" spans="1:10" outlineLevel="1">
      <c r="B123" s="18" t="s">
        <v>145</v>
      </c>
      <c r="C123" s="13">
        <v>2</v>
      </c>
      <c r="D123" s="19"/>
      <c r="E123" s="15">
        <f t="shared" si="20"/>
        <v>0.45</v>
      </c>
      <c r="F123" s="15">
        <f t="shared" si="14"/>
        <v>0.53420669577874846</v>
      </c>
      <c r="G123" s="30"/>
      <c r="H123" s="30">
        <v>42793</v>
      </c>
      <c r="I123" s="9" t="str">
        <f t="shared" si="15"/>
        <v/>
      </c>
      <c r="J123" s="38" t="str">
        <f t="shared" si="16"/>
        <v/>
      </c>
    </row>
    <row r="124" spans="1:10" outlineLevel="1">
      <c r="B124" s="18" t="s">
        <v>146</v>
      </c>
      <c r="C124" s="13">
        <v>1</v>
      </c>
      <c r="D124" s="19"/>
      <c r="E124" s="15">
        <f t="shared" si="20"/>
        <v>0.47500000000000003</v>
      </c>
      <c r="F124" s="15">
        <f t="shared" si="14"/>
        <v>0.53566229985443992</v>
      </c>
      <c r="G124" s="30"/>
      <c r="H124" s="30">
        <v>42793</v>
      </c>
      <c r="I124" s="9" t="str">
        <f t="shared" si="15"/>
        <v/>
      </c>
      <c r="J124" s="38" t="str">
        <f t="shared" si="16"/>
        <v/>
      </c>
    </row>
    <row r="125" spans="1:10" outlineLevel="1">
      <c r="B125" s="18" t="s">
        <v>147</v>
      </c>
      <c r="C125" s="13">
        <v>3</v>
      </c>
      <c r="D125" s="19"/>
      <c r="E125" s="15">
        <f t="shared" si="20"/>
        <v>0.55000000000000004</v>
      </c>
      <c r="F125" s="15">
        <f t="shared" si="14"/>
        <v>0.54002911208151416</v>
      </c>
      <c r="G125" s="30"/>
      <c r="H125" s="30">
        <v>42793</v>
      </c>
      <c r="I125" s="9" t="str">
        <f t="shared" si="15"/>
        <v/>
      </c>
      <c r="J125" s="38" t="str">
        <f t="shared" si="16"/>
        <v/>
      </c>
    </row>
    <row r="126" spans="1:10" outlineLevel="1">
      <c r="B126" s="18" t="s">
        <v>148</v>
      </c>
      <c r="C126" s="13">
        <v>2</v>
      </c>
      <c r="D126" s="19"/>
      <c r="E126" s="15">
        <f t="shared" si="20"/>
        <v>0.60000000000000009</v>
      </c>
      <c r="F126" s="15">
        <f t="shared" si="14"/>
        <v>0.54294032023289696</v>
      </c>
      <c r="G126" s="30"/>
      <c r="H126" s="30">
        <v>42793</v>
      </c>
      <c r="I126" s="9" t="str">
        <f t="shared" si="15"/>
        <v/>
      </c>
      <c r="J126" s="38" t="str">
        <f t="shared" si="16"/>
        <v/>
      </c>
    </row>
    <row r="127" spans="1:10" outlineLevel="1">
      <c r="B127" s="18" t="s">
        <v>149</v>
      </c>
      <c r="C127" s="13">
        <v>2</v>
      </c>
      <c r="D127" s="19"/>
      <c r="E127" s="15">
        <f t="shared" si="20"/>
        <v>0.65000000000000013</v>
      </c>
      <c r="F127" s="15">
        <f t="shared" si="14"/>
        <v>0.54585152838427975</v>
      </c>
      <c r="G127" s="30"/>
      <c r="H127" s="30">
        <v>42793</v>
      </c>
      <c r="I127" s="9" t="str">
        <f t="shared" si="15"/>
        <v/>
      </c>
      <c r="J127" s="38" t="str">
        <f t="shared" si="16"/>
        <v/>
      </c>
    </row>
    <row r="128" spans="1:10" outlineLevel="1">
      <c r="B128" s="18" t="s">
        <v>150</v>
      </c>
      <c r="C128" s="13">
        <v>5</v>
      </c>
      <c r="D128" s="19"/>
      <c r="E128" s="15">
        <f t="shared" si="20"/>
        <v>0.77500000000000013</v>
      </c>
      <c r="F128" s="15">
        <f t="shared" si="14"/>
        <v>0.55312954876273679</v>
      </c>
      <c r="G128" s="30"/>
      <c r="H128" s="30">
        <v>42793</v>
      </c>
      <c r="I128" s="9" t="str">
        <f t="shared" si="15"/>
        <v/>
      </c>
      <c r="J128" s="38" t="str">
        <f t="shared" si="16"/>
        <v/>
      </c>
    </row>
    <row r="129" spans="1:10" outlineLevel="1">
      <c r="B129" s="18" t="s">
        <v>151</v>
      </c>
      <c r="C129" s="13">
        <v>3</v>
      </c>
      <c r="D129" s="19"/>
      <c r="E129" s="15">
        <f t="shared" si="20"/>
        <v>0.85000000000000009</v>
      </c>
      <c r="F129" s="15">
        <f t="shared" si="14"/>
        <v>0.55749636098981104</v>
      </c>
      <c r="G129" s="30"/>
      <c r="H129" s="30">
        <v>42793</v>
      </c>
      <c r="I129" s="9" t="str">
        <f t="shared" si="15"/>
        <v/>
      </c>
      <c r="J129" s="38" t="str">
        <f t="shared" si="16"/>
        <v/>
      </c>
    </row>
    <row r="130" spans="1:10" outlineLevel="1">
      <c r="B130" s="18" t="s">
        <v>152</v>
      </c>
      <c r="C130" s="13">
        <v>1</v>
      </c>
      <c r="D130" s="19"/>
      <c r="E130" s="15">
        <f t="shared" si="20"/>
        <v>0.87500000000000011</v>
      </c>
      <c r="F130" s="15">
        <f t="shared" si="14"/>
        <v>0.55895196506550249</v>
      </c>
      <c r="G130" s="30"/>
      <c r="H130" s="30">
        <v>42793</v>
      </c>
      <c r="I130" s="9" t="str">
        <f t="shared" si="15"/>
        <v/>
      </c>
      <c r="J130" s="38" t="str">
        <f t="shared" si="16"/>
        <v/>
      </c>
    </row>
    <row r="131" spans="1:10" outlineLevel="1">
      <c r="B131" s="18" t="s">
        <v>153</v>
      </c>
      <c r="C131" s="13">
        <v>1</v>
      </c>
      <c r="D131" s="19"/>
      <c r="E131" s="15">
        <f t="shared" si="20"/>
        <v>0.90000000000000013</v>
      </c>
      <c r="F131" s="15">
        <f t="shared" si="14"/>
        <v>0.56040756914119394</v>
      </c>
      <c r="G131" s="30"/>
      <c r="H131" s="30">
        <v>42793</v>
      </c>
      <c r="I131" s="9" t="str">
        <f t="shared" si="15"/>
        <v/>
      </c>
      <c r="J131" s="38" t="str">
        <f t="shared" si="16"/>
        <v/>
      </c>
    </row>
    <row r="132" spans="1:10" outlineLevel="1">
      <c r="B132" s="18" t="s">
        <v>154</v>
      </c>
      <c r="C132" s="13">
        <v>1</v>
      </c>
      <c r="D132" s="19"/>
      <c r="E132" s="15">
        <f t="shared" si="20"/>
        <v>0.92500000000000016</v>
      </c>
      <c r="F132" s="15">
        <f t="shared" si="14"/>
        <v>0.56186317321688539</v>
      </c>
      <c r="G132" s="30"/>
      <c r="H132" s="30">
        <v>42793</v>
      </c>
      <c r="I132" s="9" t="str">
        <f t="shared" si="15"/>
        <v/>
      </c>
      <c r="J132" s="38" t="str">
        <f t="shared" si="16"/>
        <v/>
      </c>
    </row>
    <row r="133" spans="1:10" outlineLevel="1">
      <c r="B133" s="18" t="s">
        <v>155</v>
      </c>
      <c r="C133" s="13">
        <v>1</v>
      </c>
      <c r="D133" s="19"/>
      <c r="E133" s="15">
        <f t="shared" si="20"/>
        <v>0.95000000000000018</v>
      </c>
      <c r="F133" s="15">
        <f t="shared" si="14"/>
        <v>0.56331877729257684</v>
      </c>
      <c r="G133" s="30"/>
      <c r="H133" s="30">
        <v>42793</v>
      </c>
      <c r="I133" s="9" t="str">
        <f t="shared" si="15"/>
        <v/>
      </c>
      <c r="J133" s="38" t="str">
        <f t="shared" si="16"/>
        <v/>
      </c>
    </row>
    <row r="134" spans="1:10" ht="15.75" outlineLevel="1" thickBot="1">
      <c r="B134" s="18" t="s">
        <v>156</v>
      </c>
      <c r="C134" s="13">
        <v>2</v>
      </c>
      <c r="D134" s="19"/>
      <c r="E134" s="15">
        <f t="shared" si="20"/>
        <v>1.0000000000000002</v>
      </c>
      <c r="F134" s="15">
        <f t="shared" si="14"/>
        <v>0.56622998544395964</v>
      </c>
      <c r="G134" s="30"/>
      <c r="H134" s="30">
        <v>42793</v>
      </c>
      <c r="I134" s="9">
        <f t="shared" si="15"/>
        <v>40</v>
      </c>
      <c r="J134" s="38">
        <f t="shared" si="16"/>
        <v>0.66666666666666663</v>
      </c>
    </row>
    <row r="135" spans="1:10" ht="21" thickBot="1">
      <c r="A135" s="28" t="s">
        <v>239</v>
      </c>
      <c r="B135" s="25"/>
      <c r="C135" s="26"/>
      <c r="D135" s="20">
        <f>SUM(C135:C174)</f>
        <v>174</v>
      </c>
      <c r="E135" s="27"/>
      <c r="F135" s="29">
        <f t="shared" si="14"/>
        <v>0.56622998544395964</v>
      </c>
      <c r="G135" s="41" t="str">
        <f>IF(COUNTA(G136:G173)=COUNTA(B136:B173), "COMPLETE", "")</f>
        <v/>
      </c>
      <c r="I135" s="9" t="str">
        <f t="shared" si="15"/>
        <v/>
      </c>
      <c r="J135" s="38" t="str">
        <f t="shared" si="16"/>
        <v/>
      </c>
    </row>
    <row r="136" spans="1:10" ht="15.75" outlineLevel="1" thickBot="1">
      <c r="B136" s="18" t="s">
        <v>159</v>
      </c>
      <c r="C136" s="13">
        <v>4</v>
      </c>
      <c r="D136" s="21">
        <f>D135/60</f>
        <v>2.9</v>
      </c>
      <c r="E136" s="15">
        <f>E135+(C136/$D$135)</f>
        <v>2.2988505747126436E-2</v>
      </c>
      <c r="F136" s="15">
        <f t="shared" ref="F136:F195" si="21">F135+(C136/$C$197)</f>
        <v>0.57205240174672534</v>
      </c>
      <c r="G136" s="30"/>
      <c r="H136" s="30">
        <v>42794</v>
      </c>
      <c r="I136" s="9" t="str">
        <f t="shared" ref="I136:I195" si="22">IF(H136="", "", IF(ISBLANK(H137), IF(H136&lt;&gt;H138, SUMIF(H:H,H136,C:C), ""), IF(H136&lt;&gt;H137, SUMIF(H:H,H136,C:C), "")))</f>
        <v/>
      </c>
      <c r="J136" s="38" t="str">
        <f t="shared" ref="J136:J195" si="23">IF(I136&lt;&gt;"", I136/60, "")</f>
        <v/>
      </c>
    </row>
    <row r="137" spans="1:10" outlineLevel="1">
      <c r="B137" s="18" t="s">
        <v>160</v>
      </c>
      <c r="C137" s="13">
        <v>4</v>
      </c>
      <c r="D137" s="19"/>
      <c r="E137" s="15">
        <f t="shared" ref="E137:E173" si="24">E136+(C137/$D$135)</f>
        <v>4.5977011494252873E-2</v>
      </c>
      <c r="F137" s="15">
        <f t="shared" si="21"/>
        <v>0.57787481804949103</v>
      </c>
      <c r="G137" s="30"/>
      <c r="H137" s="30">
        <v>42794</v>
      </c>
      <c r="I137" s="9" t="str">
        <f t="shared" si="22"/>
        <v/>
      </c>
      <c r="J137" s="38" t="str">
        <f t="shared" si="23"/>
        <v/>
      </c>
    </row>
    <row r="138" spans="1:10" outlineLevel="1">
      <c r="B138" s="18" t="s">
        <v>161</v>
      </c>
      <c r="C138" s="13">
        <v>4</v>
      </c>
      <c r="D138" s="19"/>
      <c r="E138" s="15">
        <f t="shared" si="24"/>
        <v>6.8965517241379309E-2</v>
      </c>
      <c r="F138" s="15">
        <f t="shared" si="21"/>
        <v>0.58369723435225673</v>
      </c>
      <c r="G138" s="30"/>
      <c r="H138" s="30">
        <v>42794</v>
      </c>
      <c r="I138" s="9" t="str">
        <f t="shared" si="22"/>
        <v/>
      </c>
      <c r="J138" s="38" t="str">
        <f t="shared" si="23"/>
        <v/>
      </c>
    </row>
    <row r="139" spans="1:10" outlineLevel="1">
      <c r="B139" s="18" t="s">
        <v>163</v>
      </c>
      <c r="C139" s="13">
        <v>4</v>
      </c>
      <c r="D139" s="19"/>
      <c r="E139" s="15">
        <f t="shared" si="24"/>
        <v>9.1954022988505746E-2</v>
      </c>
      <c r="F139" s="15">
        <f t="shared" si="21"/>
        <v>0.58951965065502243</v>
      </c>
      <c r="G139" s="30"/>
      <c r="H139" s="30">
        <v>42794</v>
      </c>
      <c r="I139" s="9" t="str">
        <f t="shared" si="22"/>
        <v/>
      </c>
      <c r="J139" s="38" t="str">
        <f t="shared" si="23"/>
        <v/>
      </c>
    </row>
    <row r="140" spans="1:10" outlineLevel="1">
      <c r="B140" s="18" t="s">
        <v>165</v>
      </c>
      <c r="C140" s="13">
        <v>3</v>
      </c>
      <c r="D140" s="19"/>
      <c r="E140" s="15">
        <f t="shared" si="24"/>
        <v>0.10919540229885058</v>
      </c>
      <c r="F140" s="15">
        <f t="shared" si="21"/>
        <v>0.59388646288209668</v>
      </c>
      <c r="G140" s="30"/>
      <c r="H140" s="30">
        <v>42794</v>
      </c>
      <c r="I140" s="9" t="str">
        <f t="shared" si="22"/>
        <v/>
      </c>
      <c r="J140" s="38" t="str">
        <f t="shared" si="23"/>
        <v/>
      </c>
    </row>
    <row r="141" spans="1:10" outlineLevel="1">
      <c r="B141" s="18" t="s">
        <v>167</v>
      </c>
      <c r="C141" s="13">
        <v>2</v>
      </c>
      <c r="D141" s="19"/>
      <c r="E141" s="15">
        <f t="shared" si="24"/>
        <v>0.1206896551724138</v>
      </c>
      <c r="F141" s="15">
        <f t="shared" si="21"/>
        <v>0.59679767103347947</v>
      </c>
      <c r="G141" s="30"/>
      <c r="H141" s="30">
        <v>42794</v>
      </c>
      <c r="I141" s="9" t="str">
        <f t="shared" si="22"/>
        <v/>
      </c>
      <c r="J141" s="38" t="str">
        <f t="shared" si="23"/>
        <v/>
      </c>
    </row>
    <row r="142" spans="1:10" outlineLevel="1">
      <c r="B142" s="18" t="s">
        <v>168</v>
      </c>
      <c r="C142" s="13">
        <v>4</v>
      </c>
      <c r="D142" s="19"/>
      <c r="E142" s="15">
        <f t="shared" si="24"/>
        <v>0.14367816091954022</v>
      </c>
      <c r="F142" s="15">
        <f t="shared" si="21"/>
        <v>0.60262008733624517</v>
      </c>
      <c r="G142" s="30"/>
      <c r="H142" s="30">
        <v>42794</v>
      </c>
      <c r="I142" s="9" t="str">
        <f t="shared" si="22"/>
        <v/>
      </c>
      <c r="J142" s="38" t="str">
        <f t="shared" si="23"/>
        <v/>
      </c>
    </row>
    <row r="143" spans="1:10" outlineLevel="1">
      <c r="B143" s="18" t="s">
        <v>169</v>
      </c>
      <c r="C143" s="13">
        <v>7</v>
      </c>
      <c r="D143" s="19"/>
      <c r="E143" s="15">
        <f t="shared" si="24"/>
        <v>0.18390804597701149</v>
      </c>
      <c r="F143" s="15">
        <f t="shared" si="21"/>
        <v>0.612809315866085</v>
      </c>
      <c r="G143" s="30"/>
      <c r="H143" s="30">
        <v>42794</v>
      </c>
      <c r="I143" s="9" t="str">
        <f t="shared" si="22"/>
        <v/>
      </c>
      <c r="J143" s="38" t="str">
        <f t="shared" si="23"/>
        <v/>
      </c>
    </row>
    <row r="144" spans="1:10" outlineLevel="1">
      <c r="B144" s="18" t="s">
        <v>171</v>
      </c>
      <c r="C144" s="13">
        <v>1</v>
      </c>
      <c r="D144" s="19"/>
      <c r="E144" s="15">
        <f t="shared" si="24"/>
        <v>0.18965517241379309</v>
      </c>
      <c r="F144" s="15">
        <f t="shared" si="21"/>
        <v>0.61426491994177645</v>
      </c>
      <c r="G144" s="30"/>
      <c r="H144" s="30">
        <v>42794</v>
      </c>
      <c r="I144" s="9" t="str">
        <f t="shared" si="22"/>
        <v/>
      </c>
      <c r="J144" s="38" t="str">
        <f t="shared" si="23"/>
        <v/>
      </c>
    </row>
    <row r="145" spans="2:10" outlineLevel="1">
      <c r="B145" s="18" t="s">
        <v>172</v>
      </c>
      <c r="C145" s="13">
        <v>3</v>
      </c>
      <c r="D145" s="19"/>
      <c r="E145" s="15">
        <f t="shared" si="24"/>
        <v>0.20689655172413793</v>
      </c>
      <c r="F145" s="15">
        <f t="shared" si="21"/>
        <v>0.6186317321688507</v>
      </c>
      <c r="G145" s="30"/>
      <c r="H145" s="30">
        <v>42794</v>
      </c>
      <c r="I145" s="9" t="str">
        <f t="shared" si="22"/>
        <v/>
      </c>
      <c r="J145" s="38" t="str">
        <f t="shared" si="23"/>
        <v/>
      </c>
    </row>
    <row r="146" spans="2:10" outlineLevel="1">
      <c r="B146" s="18" t="s">
        <v>173</v>
      </c>
      <c r="C146" s="13">
        <v>2</v>
      </c>
      <c r="D146" s="19"/>
      <c r="E146" s="15">
        <f t="shared" si="24"/>
        <v>0.21839080459770116</v>
      </c>
      <c r="F146" s="15">
        <f t="shared" si="21"/>
        <v>0.62154294032023349</v>
      </c>
      <c r="G146" s="30"/>
      <c r="H146" s="30">
        <v>42794</v>
      </c>
      <c r="I146" s="9" t="str">
        <f t="shared" si="22"/>
        <v/>
      </c>
      <c r="J146" s="38" t="str">
        <f t="shared" si="23"/>
        <v/>
      </c>
    </row>
    <row r="147" spans="2:10" outlineLevel="1">
      <c r="B147" s="18" t="s">
        <v>174</v>
      </c>
      <c r="C147" s="13">
        <v>2</v>
      </c>
      <c r="D147" s="19"/>
      <c r="E147" s="15">
        <f t="shared" si="24"/>
        <v>0.22988505747126436</v>
      </c>
      <c r="F147" s="15">
        <f t="shared" si="21"/>
        <v>0.62445414847161629</v>
      </c>
      <c r="G147" s="30"/>
      <c r="H147" s="30">
        <v>42794</v>
      </c>
      <c r="I147" s="9" t="str">
        <f t="shared" si="22"/>
        <v/>
      </c>
      <c r="J147" s="38" t="str">
        <f t="shared" si="23"/>
        <v/>
      </c>
    </row>
    <row r="148" spans="2:10" outlineLevel="1">
      <c r="B148" s="18" t="s">
        <v>175</v>
      </c>
      <c r="C148" s="13">
        <v>3</v>
      </c>
      <c r="D148" s="19"/>
      <c r="E148" s="15">
        <f t="shared" si="24"/>
        <v>0.2471264367816092</v>
      </c>
      <c r="F148" s="15">
        <f t="shared" si="21"/>
        <v>0.62882096069869053</v>
      </c>
      <c r="G148" s="30"/>
      <c r="H148" s="30">
        <v>42794</v>
      </c>
      <c r="I148" s="9" t="str">
        <f t="shared" si="22"/>
        <v/>
      </c>
      <c r="J148" s="38" t="str">
        <f t="shared" si="23"/>
        <v/>
      </c>
    </row>
    <row r="149" spans="2:10" outlineLevel="1">
      <c r="B149" s="18" t="s">
        <v>176</v>
      </c>
      <c r="C149" s="13">
        <v>3</v>
      </c>
      <c r="D149" s="19"/>
      <c r="E149" s="15">
        <f t="shared" si="24"/>
        <v>0.26436781609195403</v>
      </c>
      <c r="F149" s="15">
        <f t="shared" si="21"/>
        <v>0.63318777292576478</v>
      </c>
      <c r="G149" s="30"/>
      <c r="H149" s="30">
        <v>42794</v>
      </c>
      <c r="I149" s="9" t="str">
        <f t="shared" si="22"/>
        <v/>
      </c>
      <c r="J149" s="38" t="str">
        <f t="shared" si="23"/>
        <v/>
      </c>
    </row>
    <row r="150" spans="2:10" outlineLevel="1">
      <c r="B150" s="18" t="s">
        <v>177</v>
      </c>
      <c r="C150" s="13">
        <v>5</v>
      </c>
      <c r="D150" s="19"/>
      <c r="E150" s="15">
        <f t="shared" si="24"/>
        <v>0.2931034482758621</v>
      </c>
      <c r="F150" s="15">
        <f t="shared" si="21"/>
        <v>0.64046579330422182</v>
      </c>
      <c r="G150" s="30"/>
      <c r="H150" s="30">
        <v>42794</v>
      </c>
      <c r="I150" s="9" t="str">
        <f t="shared" si="22"/>
        <v/>
      </c>
      <c r="J150" s="38" t="str">
        <f t="shared" si="23"/>
        <v/>
      </c>
    </row>
    <row r="151" spans="2:10" outlineLevel="1">
      <c r="B151" s="18" t="s">
        <v>249</v>
      </c>
      <c r="C151" s="13">
        <v>4</v>
      </c>
      <c r="D151" s="19"/>
      <c r="E151" s="15">
        <f t="shared" si="24"/>
        <v>0.31609195402298851</v>
      </c>
      <c r="F151" s="15">
        <f t="shared" si="21"/>
        <v>0.64628820960698752</v>
      </c>
      <c r="G151" s="30"/>
      <c r="H151" s="30">
        <v>42794</v>
      </c>
      <c r="I151" s="9" t="str">
        <f t="shared" si="22"/>
        <v/>
      </c>
      <c r="J151" s="38" t="str">
        <f t="shared" si="23"/>
        <v/>
      </c>
    </row>
    <row r="152" spans="2:10" outlineLevel="1">
      <c r="B152" s="18" t="s">
        <v>248</v>
      </c>
      <c r="C152" s="13">
        <v>10</v>
      </c>
      <c r="D152" s="19"/>
      <c r="E152" s="15">
        <f t="shared" si="24"/>
        <v>0.37356321839080459</v>
      </c>
      <c r="F152" s="15">
        <f t="shared" si="21"/>
        <v>0.6608442503639016</v>
      </c>
      <c r="G152" s="30"/>
      <c r="H152" s="30">
        <v>42794</v>
      </c>
      <c r="I152" s="9">
        <f t="shared" si="22"/>
        <v>65</v>
      </c>
      <c r="J152" s="38">
        <f t="shared" si="23"/>
        <v>1.0833333333333333</v>
      </c>
    </row>
    <row r="153" spans="2:10" outlineLevel="1">
      <c r="B153" s="18" t="s">
        <v>243</v>
      </c>
      <c r="C153" s="13">
        <v>5</v>
      </c>
      <c r="D153" s="19"/>
      <c r="E153" s="15">
        <f t="shared" si="24"/>
        <v>0.40229885057471265</v>
      </c>
      <c r="F153" s="15">
        <f t="shared" si="21"/>
        <v>0.66812227074235864</v>
      </c>
      <c r="G153" s="30"/>
      <c r="H153" s="30">
        <v>42795</v>
      </c>
      <c r="I153" s="9" t="str">
        <f t="shared" si="22"/>
        <v/>
      </c>
      <c r="J153" s="38" t="str">
        <f t="shared" si="23"/>
        <v/>
      </c>
    </row>
    <row r="154" spans="2:10" outlineLevel="1">
      <c r="B154" s="18" t="s">
        <v>181</v>
      </c>
      <c r="C154" s="13">
        <v>6</v>
      </c>
      <c r="D154" s="19"/>
      <c r="E154" s="15">
        <f t="shared" si="24"/>
        <v>0.43678160919540232</v>
      </c>
      <c r="F154" s="15">
        <f t="shared" si="21"/>
        <v>0.67685589519650713</v>
      </c>
      <c r="G154" s="30"/>
      <c r="H154" s="30">
        <v>42795</v>
      </c>
      <c r="I154" s="9" t="str">
        <f t="shared" si="22"/>
        <v/>
      </c>
      <c r="J154" s="38" t="str">
        <f t="shared" si="23"/>
        <v/>
      </c>
    </row>
    <row r="155" spans="2:10" outlineLevel="1">
      <c r="B155" s="18" t="s">
        <v>182</v>
      </c>
      <c r="C155" s="13">
        <v>4</v>
      </c>
      <c r="D155" s="19"/>
      <c r="E155" s="15">
        <f t="shared" si="24"/>
        <v>0.45977011494252873</v>
      </c>
      <c r="F155" s="15">
        <f t="shared" si="21"/>
        <v>0.68267831149927283</v>
      </c>
      <c r="G155" s="30"/>
      <c r="H155" s="30">
        <v>42795</v>
      </c>
      <c r="I155" s="9" t="str">
        <f t="shared" si="22"/>
        <v/>
      </c>
      <c r="J155" s="38" t="str">
        <f t="shared" si="23"/>
        <v/>
      </c>
    </row>
    <row r="156" spans="2:10" outlineLevel="1">
      <c r="B156" s="18" t="s">
        <v>183</v>
      </c>
      <c r="C156" s="13">
        <v>4</v>
      </c>
      <c r="D156" s="19"/>
      <c r="E156" s="15">
        <f t="shared" si="24"/>
        <v>0.48275862068965514</v>
      </c>
      <c r="F156" s="15">
        <f t="shared" si="21"/>
        <v>0.68850072780203853</v>
      </c>
      <c r="G156" s="30"/>
      <c r="H156" s="30">
        <v>42795</v>
      </c>
      <c r="I156" s="9" t="str">
        <f t="shared" si="22"/>
        <v/>
      </c>
      <c r="J156" s="38" t="str">
        <f t="shared" si="23"/>
        <v/>
      </c>
    </row>
    <row r="157" spans="2:10" outlineLevel="1">
      <c r="B157" s="18" t="s">
        <v>184</v>
      </c>
      <c r="C157" s="13">
        <v>4</v>
      </c>
      <c r="D157" s="19"/>
      <c r="E157" s="15">
        <f t="shared" si="24"/>
        <v>0.50574712643678155</v>
      </c>
      <c r="F157" s="15">
        <f t="shared" si="21"/>
        <v>0.69432314410480422</v>
      </c>
      <c r="G157" s="30"/>
      <c r="H157" s="30">
        <v>42795</v>
      </c>
      <c r="I157" s="9" t="str">
        <f t="shared" si="22"/>
        <v/>
      </c>
      <c r="J157" s="38" t="str">
        <f t="shared" si="23"/>
        <v/>
      </c>
    </row>
    <row r="158" spans="2:10" outlineLevel="1">
      <c r="B158" s="18" t="s">
        <v>185</v>
      </c>
      <c r="C158" s="13">
        <v>4</v>
      </c>
      <c r="D158" s="19"/>
      <c r="E158" s="15">
        <f t="shared" si="24"/>
        <v>0.52873563218390796</v>
      </c>
      <c r="F158" s="15">
        <f t="shared" si="21"/>
        <v>0.70014556040756992</v>
      </c>
      <c r="G158" s="30"/>
      <c r="H158" s="30">
        <v>42795</v>
      </c>
      <c r="I158" s="9" t="str">
        <f t="shared" si="22"/>
        <v/>
      </c>
      <c r="J158" s="38" t="str">
        <f t="shared" si="23"/>
        <v/>
      </c>
    </row>
    <row r="159" spans="2:10" outlineLevel="1">
      <c r="B159" s="18" t="s">
        <v>186</v>
      </c>
      <c r="C159" s="13">
        <v>5</v>
      </c>
      <c r="D159" s="19"/>
      <c r="E159" s="15">
        <f t="shared" si="24"/>
        <v>0.55747126436781602</v>
      </c>
      <c r="F159" s="15">
        <f t="shared" si="21"/>
        <v>0.70742358078602696</v>
      </c>
      <c r="G159" s="30"/>
      <c r="H159" s="30">
        <v>42795</v>
      </c>
      <c r="I159" s="9" t="str">
        <f t="shared" si="22"/>
        <v/>
      </c>
      <c r="J159" s="38" t="str">
        <f t="shared" si="23"/>
        <v/>
      </c>
    </row>
    <row r="160" spans="2:10" outlineLevel="1">
      <c r="B160" s="18" t="s">
        <v>187</v>
      </c>
      <c r="C160" s="13">
        <v>3</v>
      </c>
      <c r="D160" s="19"/>
      <c r="E160" s="15">
        <f t="shared" si="24"/>
        <v>0.57471264367816088</v>
      </c>
      <c r="F160" s="15">
        <f t="shared" si="21"/>
        <v>0.71179039301310121</v>
      </c>
      <c r="G160" s="30"/>
      <c r="H160" s="30">
        <v>42795</v>
      </c>
      <c r="I160" s="9" t="str">
        <f t="shared" si="22"/>
        <v/>
      </c>
      <c r="J160" s="38" t="str">
        <f t="shared" si="23"/>
        <v/>
      </c>
    </row>
    <row r="161" spans="1:10" outlineLevel="1">
      <c r="B161" s="18" t="s">
        <v>188</v>
      </c>
      <c r="C161" s="13">
        <v>10</v>
      </c>
      <c r="D161" s="19"/>
      <c r="E161" s="15">
        <f t="shared" si="24"/>
        <v>0.63218390804597702</v>
      </c>
      <c r="F161" s="15">
        <f t="shared" si="21"/>
        <v>0.72634643377001529</v>
      </c>
      <c r="G161" s="30"/>
      <c r="H161" s="30">
        <v>42795</v>
      </c>
      <c r="I161" s="9" t="str">
        <f t="shared" si="22"/>
        <v/>
      </c>
      <c r="J161" s="38" t="str">
        <f t="shared" si="23"/>
        <v/>
      </c>
    </row>
    <row r="162" spans="1:10" outlineLevel="1">
      <c r="B162" s="18" t="s">
        <v>189</v>
      </c>
      <c r="C162" s="13">
        <v>6</v>
      </c>
      <c r="D162" s="19"/>
      <c r="E162" s="15">
        <f t="shared" si="24"/>
        <v>0.66666666666666663</v>
      </c>
      <c r="F162" s="15">
        <f t="shared" si="21"/>
        <v>0.73508005822416378</v>
      </c>
      <c r="G162" s="30"/>
      <c r="H162" s="30">
        <v>42795</v>
      </c>
      <c r="I162" s="9" t="str">
        <f t="shared" si="22"/>
        <v/>
      </c>
      <c r="J162" s="38" t="str">
        <f t="shared" si="23"/>
        <v/>
      </c>
    </row>
    <row r="163" spans="1:10" outlineLevel="1">
      <c r="B163" s="18" t="s">
        <v>190</v>
      </c>
      <c r="C163" s="13">
        <v>7</v>
      </c>
      <c r="D163" s="19"/>
      <c r="E163" s="15">
        <f t="shared" si="24"/>
        <v>0.7068965517241379</v>
      </c>
      <c r="F163" s="15">
        <f t="shared" si="21"/>
        <v>0.74526928675400361</v>
      </c>
      <c r="G163" s="30"/>
      <c r="H163" s="30">
        <v>42795</v>
      </c>
      <c r="I163" s="9">
        <f t="shared" si="22"/>
        <v>58</v>
      </c>
      <c r="J163" s="38">
        <f t="shared" si="23"/>
        <v>0.96666666666666667</v>
      </c>
    </row>
    <row r="164" spans="1:10" outlineLevel="1">
      <c r="B164" s="18" t="s">
        <v>192</v>
      </c>
      <c r="C164" s="13">
        <v>8</v>
      </c>
      <c r="D164" s="19"/>
      <c r="E164" s="15">
        <f t="shared" si="24"/>
        <v>0.75287356321839072</v>
      </c>
      <c r="F164" s="15">
        <f t="shared" si="21"/>
        <v>0.7569141193595349</v>
      </c>
      <c r="G164" s="30"/>
      <c r="H164" s="30">
        <v>42796</v>
      </c>
      <c r="I164" s="9" t="str">
        <f t="shared" si="22"/>
        <v/>
      </c>
      <c r="J164" s="38" t="str">
        <f t="shared" si="23"/>
        <v/>
      </c>
    </row>
    <row r="165" spans="1:10" outlineLevel="1">
      <c r="B165" s="18" t="s">
        <v>193</v>
      </c>
      <c r="C165" s="13">
        <v>4</v>
      </c>
      <c r="D165" s="19"/>
      <c r="E165" s="15">
        <f t="shared" si="24"/>
        <v>0.77586206896551713</v>
      </c>
      <c r="F165" s="15">
        <f t="shared" si="21"/>
        <v>0.7627365356623006</v>
      </c>
      <c r="G165" s="30"/>
      <c r="H165" s="30">
        <v>42796</v>
      </c>
      <c r="I165" s="9" t="str">
        <f t="shared" si="22"/>
        <v/>
      </c>
      <c r="J165" s="38" t="str">
        <f t="shared" si="23"/>
        <v/>
      </c>
    </row>
    <row r="166" spans="1:10" outlineLevel="1">
      <c r="B166" s="18" t="s">
        <v>194</v>
      </c>
      <c r="C166" s="13">
        <v>6</v>
      </c>
      <c r="D166" s="19"/>
      <c r="E166" s="15">
        <f t="shared" si="24"/>
        <v>0.81034482758620674</v>
      </c>
      <c r="F166" s="15">
        <f t="shared" si="21"/>
        <v>0.77147016011644909</v>
      </c>
      <c r="G166" s="30"/>
      <c r="H166" s="30">
        <v>42796</v>
      </c>
      <c r="I166" s="9" t="str">
        <f t="shared" si="22"/>
        <v/>
      </c>
      <c r="J166" s="38" t="str">
        <f t="shared" si="23"/>
        <v/>
      </c>
    </row>
    <row r="167" spans="1:10" outlineLevel="1">
      <c r="B167" s="18" t="s">
        <v>195</v>
      </c>
      <c r="C167" s="13">
        <v>4</v>
      </c>
      <c r="D167" s="19"/>
      <c r="E167" s="15">
        <f t="shared" si="24"/>
        <v>0.83333333333333315</v>
      </c>
      <c r="F167" s="15">
        <f t="shared" si="21"/>
        <v>0.77729257641921479</v>
      </c>
      <c r="G167" s="30"/>
      <c r="H167" s="30">
        <v>42796</v>
      </c>
      <c r="I167" s="9" t="str">
        <f t="shared" si="22"/>
        <v/>
      </c>
      <c r="J167" s="38" t="str">
        <f t="shared" si="23"/>
        <v/>
      </c>
    </row>
    <row r="168" spans="1:10" outlineLevel="1">
      <c r="B168" s="18" t="s">
        <v>197</v>
      </c>
      <c r="C168" s="13">
        <v>10</v>
      </c>
      <c r="D168" s="19"/>
      <c r="E168" s="15">
        <f t="shared" si="24"/>
        <v>0.89080459770114928</v>
      </c>
      <c r="F168" s="15">
        <f t="shared" si="21"/>
        <v>0.79184861717612887</v>
      </c>
      <c r="G168" s="30"/>
      <c r="H168" s="30">
        <v>42796</v>
      </c>
      <c r="I168" s="9" t="str">
        <f t="shared" si="22"/>
        <v/>
      </c>
      <c r="J168" s="38" t="str">
        <f t="shared" si="23"/>
        <v/>
      </c>
    </row>
    <row r="169" spans="1:10" outlineLevel="1">
      <c r="B169" s="18" t="s">
        <v>198</v>
      </c>
      <c r="C169" s="13">
        <v>4</v>
      </c>
      <c r="D169" s="19"/>
      <c r="E169" s="15">
        <f t="shared" si="24"/>
        <v>0.91379310344827569</v>
      </c>
      <c r="F169" s="15">
        <f t="shared" si="21"/>
        <v>0.79767103347889456</v>
      </c>
      <c r="G169" s="30"/>
      <c r="H169" s="30">
        <v>42796</v>
      </c>
      <c r="I169" s="9" t="str">
        <f t="shared" si="22"/>
        <v/>
      </c>
      <c r="J169" s="38" t="str">
        <f t="shared" si="23"/>
        <v/>
      </c>
    </row>
    <row r="170" spans="1:10" outlineLevel="1">
      <c r="B170" s="18" t="s">
        <v>199</v>
      </c>
      <c r="C170" s="13">
        <v>4</v>
      </c>
      <c r="D170" s="19"/>
      <c r="E170" s="15">
        <f t="shared" si="24"/>
        <v>0.9367816091954021</v>
      </c>
      <c r="F170" s="15">
        <f t="shared" si="21"/>
        <v>0.80349344978166026</v>
      </c>
      <c r="G170" s="30"/>
      <c r="H170" s="30">
        <v>42796</v>
      </c>
      <c r="I170" s="9" t="str">
        <f t="shared" si="22"/>
        <v/>
      </c>
      <c r="J170" s="38" t="str">
        <f t="shared" si="23"/>
        <v/>
      </c>
    </row>
    <row r="171" spans="1:10" outlineLevel="1">
      <c r="B171" s="18" t="s">
        <v>200</v>
      </c>
      <c r="C171" s="13">
        <v>6</v>
      </c>
      <c r="D171" s="19"/>
      <c r="E171" s="15">
        <f t="shared" si="24"/>
        <v>0.97126436781609171</v>
      </c>
      <c r="F171" s="15">
        <f t="shared" si="21"/>
        <v>0.81222707423580875</v>
      </c>
      <c r="G171" s="30"/>
      <c r="H171" s="30">
        <v>42796</v>
      </c>
      <c r="I171" s="9" t="str">
        <f t="shared" si="22"/>
        <v/>
      </c>
      <c r="J171" s="38" t="str">
        <f t="shared" si="23"/>
        <v/>
      </c>
    </row>
    <row r="172" spans="1:10" outlineLevel="1">
      <c r="B172" s="18" t="s">
        <v>201</v>
      </c>
      <c r="C172" s="13">
        <v>3</v>
      </c>
      <c r="D172" s="19"/>
      <c r="E172" s="15">
        <f t="shared" si="24"/>
        <v>0.98850574712643657</v>
      </c>
      <c r="F172" s="15">
        <f t="shared" si="21"/>
        <v>0.816593886462883</v>
      </c>
      <c r="G172" s="30"/>
      <c r="H172" s="30">
        <v>42796</v>
      </c>
      <c r="I172" s="9" t="str">
        <f t="shared" si="22"/>
        <v/>
      </c>
      <c r="J172" s="38" t="str">
        <f t="shared" si="23"/>
        <v/>
      </c>
    </row>
    <row r="173" spans="1:10" ht="15.75" outlineLevel="1" thickBot="1">
      <c r="B173" s="18" t="s">
        <v>202</v>
      </c>
      <c r="C173" s="13">
        <v>2</v>
      </c>
      <c r="D173" s="19"/>
      <c r="E173" s="15">
        <f t="shared" si="24"/>
        <v>0.99999999999999978</v>
      </c>
      <c r="F173" s="15">
        <f t="shared" si="21"/>
        <v>0.81950509461426579</v>
      </c>
      <c r="G173" s="30"/>
      <c r="H173" s="30">
        <v>42796</v>
      </c>
      <c r="I173" s="9">
        <f t="shared" si="22"/>
        <v>51</v>
      </c>
      <c r="J173" s="38">
        <f t="shared" si="23"/>
        <v>0.85</v>
      </c>
    </row>
    <row r="174" spans="1:10" ht="21" thickBot="1">
      <c r="A174" s="28" t="s">
        <v>240</v>
      </c>
      <c r="B174" s="25"/>
      <c r="C174" s="26"/>
      <c r="D174" s="20">
        <f>SUM(C174:C192)</f>
        <v>108</v>
      </c>
      <c r="E174" s="27"/>
      <c r="F174" s="29">
        <f t="shared" si="21"/>
        <v>0.81950509461426579</v>
      </c>
      <c r="G174" s="41" t="str">
        <f>IF(COUNTA(G175:G191)=COUNTA(B175:B191), "COMPLETE", "")</f>
        <v/>
      </c>
      <c r="I174" s="9" t="str">
        <f t="shared" si="22"/>
        <v/>
      </c>
      <c r="J174" s="38" t="str">
        <f t="shared" si="23"/>
        <v/>
      </c>
    </row>
    <row r="175" spans="1:10" ht="15.75" outlineLevel="1" thickBot="1">
      <c r="B175" s="18" t="s">
        <v>205</v>
      </c>
      <c r="C175" s="13">
        <v>6</v>
      </c>
      <c r="D175" s="21">
        <f>D174/60</f>
        <v>1.8</v>
      </c>
      <c r="E175" s="15">
        <f>E174+(C175/$D$174)</f>
        <v>5.5555555555555552E-2</v>
      </c>
      <c r="F175" s="15">
        <f t="shared" si="21"/>
        <v>0.82823871906841429</v>
      </c>
      <c r="G175" s="30"/>
      <c r="H175" s="30">
        <v>42797</v>
      </c>
      <c r="I175" s="9" t="str">
        <f t="shared" si="22"/>
        <v/>
      </c>
      <c r="J175" s="38" t="str">
        <f t="shared" si="23"/>
        <v/>
      </c>
    </row>
    <row r="176" spans="1:10" outlineLevel="1">
      <c r="B176" s="18" t="s">
        <v>206</v>
      </c>
      <c r="C176" s="13">
        <v>7</v>
      </c>
      <c r="D176" s="19"/>
      <c r="E176" s="15">
        <f t="shared" ref="E176:E191" si="25">E175+(C176/$D$174)</f>
        <v>0.12037037037037036</v>
      </c>
      <c r="F176" s="15">
        <f t="shared" si="21"/>
        <v>0.83842794759825412</v>
      </c>
      <c r="G176" s="30"/>
      <c r="H176" s="30">
        <v>42797</v>
      </c>
      <c r="I176" s="9" t="str">
        <f t="shared" si="22"/>
        <v/>
      </c>
      <c r="J176" s="38" t="str">
        <f t="shared" si="23"/>
        <v/>
      </c>
    </row>
    <row r="177" spans="1:10" outlineLevel="1">
      <c r="B177" s="18" t="s">
        <v>207</v>
      </c>
      <c r="C177" s="13">
        <v>4</v>
      </c>
      <c r="D177" s="19"/>
      <c r="E177" s="15">
        <f t="shared" si="25"/>
        <v>0.15740740740740738</v>
      </c>
      <c r="F177" s="15">
        <f t="shared" si="21"/>
        <v>0.84425036390101982</v>
      </c>
      <c r="G177" s="30"/>
      <c r="H177" s="30">
        <v>42797</v>
      </c>
      <c r="I177" s="9" t="str">
        <f t="shared" si="22"/>
        <v/>
      </c>
      <c r="J177" s="38" t="str">
        <f t="shared" si="23"/>
        <v/>
      </c>
    </row>
    <row r="178" spans="1:10" outlineLevel="1">
      <c r="B178" s="18" t="s">
        <v>208</v>
      </c>
      <c r="C178" s="13">
        <v>9</v>
      </c>
      <c r="D178" s="19"/>
      <c r="E178" s="15">
        <f t="shared" si="25"/>
        <v>0.2407407407407407</v>
      </c>
      <c r="F178" s="15">
        <f t="shared" si="21"/>
        <v>0.85735080058224256</v>
      </c>
      <c r="G178" s="30"/>
      <c r="H178" s="30">
        <v>42797</v>
      </c>
      <c r="I178" s="9" t="str">
        <f t="shared" si="22"/>
        <v/>
      </c>
      <c r="J178" s="38" t="str">
        <f t="shared" si="23"/>
        <v/>
      </c>
    </row>
    <row r="179" spans="1:10" outlineLevel="1">
      <c r="B179" s="18" t="s">
        <v>209</v>
      </c>
      <c r="C179" s="13">
        <v>3</v>
      </c>
      <c r="D179" s="19"/>
      <c r="E179" s="15">
        <f t="shared" si="25"/>
        <v>0.26851851851851849</v>
      </c>
      <c r="F179" s="15">
        <f t="shared" si="21"/>
        <v>0.8617176128093168</v>
      </c>
      <c r="G179" s="30"/>
      <c r="H179" s="30">
        <v>42797</v>
      </c>
      <c r="I179" s="9" t="str">
        <f t="shared" si="22"/>
        <v/>
      </c>
      <c r="J179" s="38" t="str">
        <f t="shared" si="23"/>
        <v/>
      </c>
    </row>
    <row r="180" spans="1:10" outlineLevel="1">
      <c r="B180" s="18" t="s">
        <v>210</v>
      </c>
      <c r="C180" s="13">
        <v>2</v>
      </c>
      <c r="D180" s="19"/>
      <c r="E180" s="15">
        <f t="shared" si="25"/>
        <v>0.28703703703703698</v>
      </c>
      <c r="F180" s="15">
        <f t="shared" si="21"/>
        <v>0.8646288209606996</v>
      </c>
      <c r="G180" s="30"/>
      <c r="H180" s="30">
        <v>42797</v>
      </c>
      <c r="I180" s="9" t="str">
        <f t="shared" si="22"/>
        <v/>
      </c>
      <c r="J180" s="38" t="str">
        <f t="shared" si="23"/>
        <v/>
      </c>
    </row>
    <row r="181" spans="1:10" outlineLevel="1">
      <c r="B181" s="18" t="s">
        <v>211</v>
      </c>
      <c r="C181" s="13">
        <v>3</v>
      </c>
      <c r="D181" s="19"/>
      <c r="E181" s="15">
        <f t="shared" si="25"/>
        <v>0.31481481481481477</v>
      </c>
      <c r="F181" s="15">
        <f t="shared" si="21"/>
        <v>0.86899563318777384</v>
      </c>
      <c r="G181" s="30"/>
      <c r="H181" s="30">
        <v>42797</v>
      </c>
      <c r="I181" s="9" t="str">
        <f t="shared" si="22"/>
        <v/>
      </c>
      <c r="J181" s="38" t="str">
        <f t="shared" si="23"/>
        <v/>
      </c>
    </row>
    <row r="182" spans="1:10" outlineLevel="1">
      <c r="B182" s="18" t="s">
        <v>212</v>
      </c>
      <c r="C182" s="13">
        <v>6</v>
      </c>
      <c r="D182" s="19"/>
      <c r="E182" s="15">
        <f t="shared" si="25"/>
        <v>0.37037037037037035</v>
      </c>
      <c r="F182" s="15">
        <f t="shared" si="21"/>
        <v>0.87772925764192233</v>
      </c>
      <c r="G182" s="30"/>
      <c r="H182" s="30">
        <v>42797</v>
      </c>
      <c r="I182" s="9" t="str">
        <f t="shared" si="22"/>
        <v/>
      </c>
      <c r="J182" s="38" t="str">
        <f t="shared" si="23"/>
        <v/>
      </c>
    </row>
    <row r="183" spans="1:10" outlineLevel="1">
      <c r="B183" s="18" t="s">
        <v>244</v>
      </c>
      <c r="C183" s="13">
        <v>12</v>
      </c>
      <c r="D183" s="19"/>
      <c r="E183" s="15">
        <f t="shared" si="25"/>
        <v>0.48148148148148145</v>
      </c>
      <c r="F183" s="15">
        <f t="shared" si="21"/>
        <v>0.89519650655021932</v>
      </c>
      <c r="G183" s="30"/>
      <c r="H183" s="30">
        <v>42797</v>
      </c>
      <c r="I183" s="9" t="str">
        <f t="shared" si="22"/>
        <v/>
      </c>
      <c r="J183" s="38" t="str">
        <f t="shared" si="23"/>
        <v/>
      </c>
    </row>
    <row r="184" spans="1:10" outlineLevel="1">
      <c r="B184" s="18" t="s">
        <v>245</v>
      </c>
      <c r="C184" s="13">
        <v>8</v>
      </c>
      <c r="D184" s="19"/>
      <c r="E184" s="15">
        <f t="shared" si="25"/>
        <v>0.55555555555555558</v>
      </c>
      <c r="F184" s="15">
        <f t="shared" si="21"/>
        <v>0.9068413391557506</v>
      </c>
      <c r="G184" s="30"/>
      <c r="H184" s="30">
        <v>42797</v>
      </c>
      <c r="I184" s="9">
        <f t="shared" si="22"/>
        <v>60</v>
      </c>
      <c r="J184" s="38">
        <f t="shared" si="23"/>
        <v>1</v>
      </c>
    </row>
    <row r="185" spans="1:10" outlineLevel="1">
      <c r="B185" s="18" t="s">
        <v>215</v>
      </c>
      <c r="C185" s="13">
        <v>16</v>
      </c>
      <c r="D185" s="19"/>
      <c r="E185" s="15">
        <f t="shared" si="25"/>
        <v>0.70370370370370372</v>
      </c>
      <c r="F185" s="15">
        <f t="shared" si="21"/>
        <v>0.93013100436681317</v>
      </c>
      <c r="G185" s="30"/>
      <c r="H185" s="30">
        <v>42798</v>
      </c>
      <c r="I185" s="9" t="str">
        <f t="shared" si="22"/>
        <v/>
      </c>
      <c r="J185" s="38" t="str">
        <f t="shared" si="23"/>
        <v/>
      </c>
    </row>
    <row r="186" spans="1:10" outlineLevel="1">
      <c r="B186" s="18" t="s">
        <v>246</v>
      </c>
      <c r="C186" s="13">
        <v>11</v>
      </c>
      <c r="D186" s="19"/>
      <c r="E186" s="15">
        <f t="shared" si="25"/>
        <v>0.80555555555555558</v>
      </c>
      <c r="F186" s="15">
        <f t="shared" si="21"/>
        <v>0.94614264919941871</v>
      </c>
      <c r="G186" s="30"/>
      <c r="H186" s="30">
        <v>42798</v>
      </c>
      <c r="I186" s="9" t="str">
        <f t="shared" si="22"/>
        <v/>
      </c>
      <c r="J186" s="38" t="str">
        <f t="shared" si="23"/>
        <v/>
      </c>
    </row>
    <row r="187" spans="1:10" outlineLevel="1">
      <c r="B187" s="18" t="s">
        <v>247</v>
      </c>
      <c r="C187" s="13">
        <v>6</v>
      </c>
      <c r="D187" s="19"/>
      <c r="E187" s="15">
        <f t="shared" si="25"/>
        <v>0.86111111111111116</v>
      </c>
      <c r="F187" s="15">
        <f t="shared" si="21"/>
        <v>0.9548762736535672</v>
      </c>
      <c r="G187" s="30"/>
      <c r="H187" s="30">
        <v>42798</v>
      </c>
      <c r="I187" s="9" t="str">
        <f t="shared" si="22"/>
        <v/>
      </c>
      <c r="J187" s="38" t="str">
        <f t="shared" si="23"/>
        <v/>
      </c>
    </row>
    <row r="188" spans="1:10" outlineLevel="1">
      <c r="B188" s="18" t="s">
        <v>218</v>
      </c>
      <c r="C188" s="13">
        <v>3</v>
      </c>
      <c r="D188" s="19"/>
      <c r="E188" s="15">
        <f t="shared" si="25"/>
        <v>0.88888888888888895</v>
      </c>
      <c r="F188" s="15">
        <f t="shared" si="21"/>
        <v>0.95924308588064144</v>
      </c>
      <c r="G188" s="30"/>
      <c r="H188" s="30">
        <v>42798</v>
      </c>
      <c r="I188" s="9" t="str">
        <f t="shared" si="22"/>
        <v/>
      </c>
      <c r="J188" s="38" t="str">
        <f t="shared" si="23"/>
        <v/>
      </c>
    </row>
    <row r="189" spans="1:10" outlineLevel="1">
      <c r="B189" s="18" t="s">
        <v>219</v>
      </c>
      <c r="C189" s="13">
        <v>3</v>
      </c>
      <c r="D189" s="19"/>
      <c r="E189" s="15">
        <f t="shared" si="25"/>
        <v>0.91666666666666674</v>
      </c>
      <c r="F189" s="15">
        <f t="shared" si="21"/>
        <v>0.96360989810771569</v>
      </c>
      <c r="G189" s="30"/>
      <c r="H189" s="30">
        <v>42798</v>
      </c>
      <c r="I189" s="9" t="str">
        <f t="shared" si="22"/>
        <v/>
      </c>
      <c r="J189" s="38" t="str">
        <f t="shared" si="23"/>
        <v/>
      </c>
    </row>
    <row r="190" spans="1:10" outlineLevel="1">
      <c r="B190" s="18" t="s">
        <v>220</v>
      </c>
      <c r="C190" s="13">
        <v>6</v>
      </c>
      <c r="D190" s="19"/>
      <c r="E190" s="15">
        <f t="shared" si="25"/>
        <v>0.97222222222222232</v>
      </c>
      <c r="F190" s="15">
        <f t="shared" si="21"/>
        <v>0.97234352256186418</v>
      </c>
      <c r="G190" s="30"/>
      <c r="H190" s="30">
        <v>42798</v>
      </c>
      <c r="I190" s="9" t="str">
        <f t="shared" si="22"/>
        <v/>
      </c>
      <c r="J190" s="38" t="str">
        <f t="shared" si="23"/>
        <v/>
      </c>
    </row>
    <row r="191" spans="1:10" ht="15.75" outlineLevel="1" thickBot="1">
      <c r="B191" s="18" t="s">
        <v>221</v>
      </c>
      <c r="C191" s="13">
        <v>3</v>
      </c>
      <c r="D191" s="19"/>
      <c r="E191" s="15">
        <f t="shared" si="25"/>
        <v>1</v>
      </c>
      <c r="F191" s="15">
        <f t="shared" si="21"/>
        <v>0.97671033478893843</v>
      </c>
      <c r="G191" s="30"/>
      <c r="H191" s="30">
        <v>42798</v>
      </c>
      <c r="I191" s="9" t="str">
        <f t="shared" si="22"/>
        <v/>
      </c>
      <c r="J191" s="38" t="str">
        <f t="shared" si="23"/>
        <v/>
      </c>
    </row>
    <row r="192" spans="1:10" ht="21" thickBot="1">
      <c r="A192" s="28" t="s">
        <v>241</v>
      </c>
      <c r="B192" s="25"/>
      <c r="C192" s="26"/>
      <c r="D192" s="20">
        <f>SUM(C192:C196)</f>
        <v>16</v>
      </c>
      <c r="E192" s="27"/>
      <c r="F192" s="29">
        <f t="shared" si="21"/>
        <v>0.97671033478893843</v>
      </c>
      <c r="G192" s="41" t="str">
        <f>IF(COUNTA(G193:G195)=COUNTA(B193:B195), "COMPLETE", "")</f>
        <v/>
      </c>
      <c r="I192" s="9" t="str">
        <f t="shared" si="22"/>
        <v/>
      </c>
      <c r="J192" s="38" t="str">
        <f t="shared" si="23"/>
        <v/>
      </c>
    </row>
    <row r="193" spans="2:10" ht="15.75" outlineLevel="1" thickBot="1">
      <c r="B193" s="18" t="s">
        <v>224</v>
      </c>
      <c r="C193" s="13">
        <v>7</v>
      </c>
      <c r="D193" s="21">
        <f>D192/60</f>
        <v>0.26666666666666666</v>
      </c>
      <c r="E193" s="15">
        <f>E192+(C193/$D$192)</f>
        <v>0.4375</v>
      </c>
      <c r="F193" s="15">
        <f t="shared" si="21"/>
        <v>0.98689956331877826</v>
      </c>
      <c r="G193" s="30"/>
      <c r="H193" s="30">
        <v>42798</v>
      </c>
      <c r="I193" s="9" t="str">
        <f t="shared" si="22"/>
        <v/>
      </c>
      <c r="J193" s="38" t="str">
        <f t="shared" si="23"/>
        <v/>
      </c>
    </row>
    <row r="194" spans="2:10" outlineLevel="1">
      <c r="B194" s="18" t="s">
        <v>225</v>
      </c>
      <c r="C194" s="13">
        <v>6</v>
      </c>
      <c r="D194" s="19"/>
      <c r="E194" s="15">
        <f>E193+(C194/$D$192)</f>
        <v>0.8125</v>
      </c>
      <c r="F194" s="15">
        <f t="shared" si="21"/>
        <v>0.99563318777292675</v>
      </c>
      <c r="G194" s="30"/>
      <c r="H194" s="30">
        <v>42798</v>
      </c>
      <c r="I194" s="9" t="str">
        <f t="shared" si="22"/>
        <v/>
      </c>
      <c r="J194" s="38" t="str">
        <f t="shared" si="23"/>
        <v/>
      </c>
    </row>
    <row r="195" spans="2:10" outlineLevel="1">
      <c r="B195" s="18" t="s">
        <v>226</v>
      </c>
      <c r="C195" s="13">
        <v>3</v>
      </c>
      <c r="D195" s="19"/>
      <c r="E195" s="15">
        <f>E194+(C195/$D$192)</f>
        <v>1</v>
      </c>
      <c r="F195" s="15">
        <f t="shared" si="21"/>
        <v>1.0000000000000009</v>
      </c>
      <c r="G195" s="30"/>
      <c r="H195" s="30">
        <v>42798</v>
      </c>
      <c r="I195" s="9">
        <f t="shared" si="22"/>
        <v>64</v>
      </c>
      <c r="J195" s="38">
        <f t="shared" si="23"/>
        <v>1.0666666666666667</v>
      </c>
    </row>
    <row r="197" spans="2:10" ht="15.75" thickBot="1">
      <c r="B197" s="39" t="s">
        <v>8</v>
      </c>
      <c r="C197" s="40">
        <f>SUM(C4:C196)</f>
        <v>687</v>
      </c>
    </row>
    <row r="198" spans="2:10" ht="15.75" thickTop="1">
      <c r="B198" s="39" t="s">
        <v>9</v>
      </c>
      <c r="C198" s="12">
        <f>+C197/60</f>
        <v>11.45</v>
      </c>
    </row>
  </sheetData>
  <pageMargins left="0.25" right="0.25" top="0.75" bottom="0.75" header="0.3" footer="0.3"/>
  <pageSetup scale="64" fitToHeight="0" orientation="portrait" horizontalDpi="4294967293" verticalDpi="4294967293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219"/>
  <sheetViews>
    <sheetView workbookViewId="0">
      <selection sqref="A1:A219"/>
    </sheetView>
  </sheetViews>
  <sheetFormatPr defaultRowHeight="15"/>
  <sheetData>
    <row r="1" spans="1:1">
      <c r="A1" s="42" t="s">
        <v>10</v>
      </c>
    </row>
    <row r="2" spans="1:1" ht="19.5" thickBot="1">
      <c r="A2" s="46" t="s">
        <v>11</v>
      </c>
    </row>
    <row r="3" spans="1:1">
      <c r="A3" s="45" t="s">
        <v>12</v>
      </c>
    </row>
    <row r="4" spans="1:1">
      <c r="A4" s="44" t="s">
        <v>13</v>
      </c>
    </row>
    <row r="5" spans="1:1">
      <c r="A5" s="44" t="s">
        <v>14</v>
      </c>
    </row>
    <row r="6" spans="1:1" ht="15.75" thickBot="1">
      <c r="A6" s="44" t="s">
        <v>15</v>
      </c>
    </row>
    <row r="7" spans="1:1" ht="15.75" thickBot="1">
      <c r="A7" s="43" t="s">
        <v>16</v>
      </c>
    </row>
    <row r="8" spans="1:1" ht="15.75" thickBot="1">
      <c r="A8" s="43" t="s">
        <v>17</v>
      </c>
    </row>
    <row r="9" spans="1:1" ht="15.75" thickBot="1">
      <c r="A9" s="43" t="s">
        <v>18</v>
      </c>
    </row>
    <row r="10" spans="1:1" ht="15.75" thickBot="1">
      <c r="A10" s="43" t="s">
        <v>19</v>
      </c>
    </row>
    <row r="11" spans="1:1" ht="15.75" thickBot="1">
      <c r="A11" s="43" t="s">
        <v>20</v>
      </c>
    </row>
    <row r="12" spans="1:1" ht="15.75" thickBot="1">
      <c r="A12" s="43" t="s">
        <v>21</v>
      </c>
    </row>
    <row r="13" spans="1:1" ht="15.75" thickBot="1">
      <c r="A13" s="43" t="s">
        <v>22</v>
      </c>
    </row>
    <row r="14" spans="1:1" ht="15.75" thickBot="1">
      <c r="A14" s="43" t="s">
        <v>23</v>
      </c>
    </row>
    <row r="15" spans="1:1" ht="15.75" thickBot="1">
      <c r="A15" s="43" t="s">
        <v>24</v>
      </c>
    </row>
    <row r="16" spans="1:1" ht="15.75" thickBot="1">
      <c r="A16" s="43" t="s">
        <v>25</v>
      </c>
    </row>
    <row r="17" spans="1:1">
      <c r="A17" s="43" t="s">
        <v>26</v>
      </c>
    </row>
    <row r="18" spans="1:1">
      <c r="A18" s="42" t="s">
        <v>27</v>
      </c>
    </row>
    <row r="19" spans="1:1" ht="19.5" thickBot="1">
      <c r="A19" s="46" t="s">
        <v>28</v>
      </c>
    </row>
    <row r="20" spans="1:1" ht="15.75" thickBot="1">
      <c r="A20" s="45" t="s">
        <v>29</v>
      </c>
    </row>
    <row r="21" spans="1:1" ht="15.75" thickBot="1">
      <c r="A21" s="43" t="s">
        <v>30</v>
      </c>
    </row>
    <row r="22" spans="1:1" ht="15.75" thickBot="1">
      <c r="A22" s="43" t="s">
        <v>31</v>
      </c>
    </row>
    <row r="23" spans="1:1" ht="15.75" thickBot="1">
      <c r="A23" s="43" t="s">
        <v>32</v>
      </c>
    </row>
    <row r="24" spans="1:1" ht="15.75" thickBot="1">
      <c r="A24" s="43" t="s">
        <v>33</v>
      </c>
    </row>
    <row r="25" spans="1:1" ht="15.75" thickBot="1">
      <c r="A25" s="43" t="s">
        <v>34</v>
      </c>
    </row>
    <row r="26" spans="1:1" ht="15.75" thickBot="1">
      <c r="A26" s="43" t="s">
        <v>35</v>
      </c>
    </row>
    <row r="27" spans="1:1" ht="15.75" thickBot="1">
      <c r="A27" s="43" t="s">
        <v>36</v>
      </c>
    </row>
    <row r="28" spans="1:1" ht="15.75" thickBot="1">
      <c r="A28" s="43" t="s">
        <v>37</v>
      </c>
    </row>
    <row r="29" spans="1:1">
      <c r="A29" s="43" t="s">
        <v>38</v>
      </c>
    </row>
    <row r="30" spans="1:1">
      <c r="A30" s="42" t="s">
        <v>39</v>
      </c>
    </row>
    <row r="31" spans="1:1" ht="19.5" thickBot="1">
      <c r="A31" s="46" t="s">
        <v>40</v>
      </c>
    </row>
    <row r="32" spans="1:1" ht="15.75" thickBot="1">
      <c r="A32" s="45" t="s">
        <v>41</v>
      </c>
    </row>
    <row r="33" spans="1:1" ht="15.75" thickBot="1">
      <c r="A33" s="43" t="s">
        <v>42</v>
      </c>
    </row>
    <row r="34" spans="1:1" ht="15.75" thickBot="1">
      <c r="A34" s="43" t="s">
        <v>43</v>
      </c>
    </row>
    <row r="35" spans="1:1" ht="15.75" thickBot="1">
      <c r="A35" s="43" t="s">
        <v>44</v>
      </c>
    </row>
    <row r="36" spans="1:1" ht="15.75" thickBot="1">
      <c r="A36" s="43" t="s">
        <v>45</v>
      </c>
    </row>
    <row r="37" spans="1:1">
      <c r="A37" s="43" t="s">
        <v>46</v>
      </c>
    </row>
    <row r="38" spans="1:1">
      <c r="A38" s="42" t="s">
        <v>47</v>
      </c>
    </row>
    <row r="39" spans="1:1" ht="19.5" thickBot="1">
      <c r="A39" s="46" t="s">
        <v>48</v>
      </c>
    </row>
    <row r="40" spans="1:1">
      <c r="A40" s="45" t="s">
        <v>49</v>
      </c>
    </row>
    <row r="41" spans="1:1" ht="15.75" thickBot="1">
      <c r="A41" s="44" t="s">
        <v>50</v>
      </c>
    </row>
    <row r="42" spans="1:1" ht="15.75" thickBot="1">
      <c r="A42" s="43" t="s">
        <v>51</v>
      </c>
    </row>
    <row r="43" spans="1:1" ht="15.75" thickBot="1">
      <c r="A43" s="43" t="s">
        <v>52</v>
      </c>
    </row>
    <row r="44" spans="1:1" ht="15.75" thickBot="1">
      <c r="A44" s="43" t="s">
        <v>53</v>
      </c>
    </row>
    <row r="45" spans="1:1" ht="15.75" thickBot="1">
      <c r="A45" s="43" t="s">
        <v>54</v>
      </c>
    </row>
    <row r="46" spans="1:1" ht="15.75" thickBot="1">
      <c r="A46" s="43" t="s">
        <v>55</v>
      </c>
    </row>
    <row r="47" spans="1:1">
      <c r="A47" s="43" t="s">
        <v>56</v>
      </c>
    </row>
    <row r="48" spans="1:1" ht="15.75" thickBot="1">
      <c r="A48" s="44" t="s">
        <v>57</v>
      </c>
    </row>
    <row r="49" spans="1:1">
      <c r="A49" s="43" t="s">
        <v>58</v>
      </c>
    </row>
    <row r="50" spans="1:1">
      <c r="A50" s="42" t="s">
        <v>59</v>
      </c>
    </row>
    <row r="51" spans="1:1" ht="19.5" thickBot="1">
      <c r="A51" s="46" t="s">
        <v>60</v>
      </c>
    </row>
    <row r="52" spans="1:1" ht="15.75" thickBot="1">
      <c r="A52" s="45" t="s">
        <v>61</v>
      </c>
    </row>
    <row r="53" spans="1:1" ht="15.75" thickBot="1">
      <c r="A53" s="43" t="s">
        <v>62</v>
      </c>
    </row>
    <row r="54" spans="1:1" ht="15.75" thickBot="1">
      <c r="A54" s="43" t="s">
        <v>63</v>
      </c>
    </row>
    <row r="55" spans="1:1" ht="15.75" thickBot="1">
      <c r="A55" s="43" t="s">
        <v>64</v>
      </c>
    </row>
    <row r="56" spans="1:1" ht="15.75" thickBot="1">
      <c r="A56" s="43" t="s">
        <v>65</v>
      </c>
    </row>
    <row r="57" spans="1:1" ht="15.75" thickBot="1">
      <c r="A57" s="43" t="s">
        <v>66</v>
      </c>
    </row>
    <row r="58" spans="1:1" ht="15.75" thickBot="1">
      <c r="A58" s="43" t="s">
        <v>67</v>
      </c>
    </row>
    <row r="59" spans="1:1" ht="15.75" thickBot="1">
      <c r="A59" s="43" t="s">
        <v>68</v>
      </c>
    </row>
    <row r="60" spans="1:1">
      <c r="A60" s="43" t="s">
        <v>69</v>
      </c>
    </row>
    <row r="61" spans="1:1">
      <c r="A61" s="42" t="s">
        <v>70</v>
      </c>
    </row>
    <row r="62" spans="1:1" ht="19.5" thickBot="1">
      <c r="A62" s="46" t="s">
        <v>71</v>
      </c>
    </row>
    <row r="63" spans="1:1" ht="15.75" thickBot="1">
      <c r="A63" s="45" t="s">
        <v>72</v>
      </c>
    </row>
    <row r="64" spans="1:1" ht="15.75" thickBot="1">
      <c r="A64" s="43" t="s">
        <v>73</v>
      </c>
    </row>
    <row r="65" spans="1:1" ht="15.75" thickBot="1">
      <c r="A65" s="43" t="s">
        <v>74</v>
      </c>
    </row>
    <row r="66" spans="1:1" ht="15.75" thickBot="1">
      <c r="A66" s="43" t="s">
        <v>75</v>
      </c>
    </row>
    <row r="67" spans="1:1">
      <c r="A67" s="43" t="s">
        <v>76</v>
      </c>
    </row>
    <row r="68" spans="1:1" ht="15.75" thickBot="1">
      <c r="A68" s="44" t="s">
        <v>77</v>
      </c>
    </row>
    <row r="69" spans="1:1" ht="15.75" thickBot="1">
      <c r="A69" s="43" t="s">
        <v>78</v>
      </c>
    </row>
    <row r="70" spans="1:1" ht="15.75" thickBot="1">
      <c r="A70" s="43" t="s">
        <v>79</v>
      </c>
    </row>
    <row r="71" spans="1:1">
      <c r="A71" s="43" t="s">
        <v>80</v>
      </c>
    </row>
    <row r="72" spans="1:1" ht="15.75" thickBot="1">
      <c r="A72" s="44" t="s">
        <v>81</v>
      </c>
    </row>
    <row r="73" spans="1:1" ht="15.75" thickBot="1">
      <c r="A73" s="43" t="s">
        <v>82</v>
      </c>
    </row>
    <row r="74" spans="1:1" ht="15.75" thickBot="1">
      <c r="A74" s="43" t="s">
        <v>83</v>
      </c>
    </row>
    <row r="75" spans="1:1" ht="15.75" thickBot="1">
      <c r="A75" s="43" t="s">
        <v>84</v>
      </c>
    </row>
    <row r="76" spans="1:1" ht="15.75" thickBot="1">
      <c r="A76" s="43" t="s">
        <v>85</v>
      </c>
    </row>
    <row r="77" spans="1:1" ht="15.75" thickBot="1">
      <c r="A77" s="43" t="s">
        <v>86</v>
      </c>
    </row>
    <row r="78" spans="1:1" ht="15.75" thickBot="1">
      <c r="A78" s="43" t="s">
        <v>87</v>
      </c>
    </row>
    <row r="79" spans="1:1" ht="15.75" thickBot="1">
      <c r="A79" s="43" t="s">
        <v>88</v>
      </c>
    </row>
    <row r="80" spans="1:1" ht="15.75" thickBot="1">
      <c r="A80" s="43" t="s">
        <v>89</v>
      </c>
    </row>
    <row r="81" spans="1:1" ht="15.75" thickBot="1">
      <c r="A81" s="43" t="s">
        <v>90</v>
      </c>
    </row>
    <row r="82" spans="1:1" ht="15.75" thickBot="1">
      <c r="A82" s="43" t="s">
        <v>91</v>
      </c>
    </row>
    <row r="83" spans="1:1" ht="15.75" thickBot="1">
      <c r="A83" s="43" t="s">
        <v>92</v>
      </c>
    </row>
    <row r="84" spans="1:1">
      <c r="A84" s="43" t="s">
        <v>93</v>
      </c>
    </row>
    <row r="85" spans="1:1" ht="15.75" thickBot="1">
      <c r="A85" s="44" t="s">
        <v>15</v>
      </c>
    </row>
    <row r="86" spans="1:1" ht="15.75" thickBot="1">
      <c r="A86" s="43" t="s">
        <v>94</v>
      </c>
    </row>
    <row r="87" spans="1:1">
      <c r="A87" s="43" t="s">
        <v>95</v>
      </c>
    </row>
    <row r="88" spans="1:1">
      <c r="A88" s="42" t="s">
        <v>96</v>
      </c>
    </row>
    <row r="89" spans="1:1" ht="19.5" thickBot="1">
      <c r="A89" s="46" t="s">
        <v>97</v>
      </c>
    </row>
    <row r="90" spans="1:1" ht="15.75" thickBot="1">
      <c r="A90" s="45" t="s">
        <v>98</v>
      </c>
    </row>
    <row r="91" spans="1:1" ht="15.75" thickBot="1">
      <c r="A91" s="43" t="s">
        <v>99</v>
      </c>
    </row>
    <row r="92" spans="1:1" ht="15.75" thickBot="1">
      <c r="A92" s="43" t="s">
        <v>100</v>
      </c>
    </row>
    <row r="93" spans="1:1" ht="15.75" thickBot="1">
      <c r="A93" s="43" t="s">
        <v>101</v>
      </c>
    </row>
    <row r="94" spans="1:1" ht="15.75" thickBot="1">
      <c r="A94" s="43" t="s">
        <v>102</v>
      </c>
    </row>
    <row r="95" spans="1:1" ht="15.75" thickBot="1">
      <c r="A95" s="43" t="s">
        <v>103</v>
      </c>
    </row>
    <row r="96" spans="1:1" ht="15.75" thickBot="1">
      <c r="A96" s="43" t="s">
        <v>104</v>
      </c>
    </row>
    <row r="97" spans="1:1" ht="15.75" thickBot="1">
      <c r="A97" s="43" t="s">
        <v>105</v>
      </c>
    </row>
    <row r="98" spans="1:1" ht="15.75" thickBot="1">
      <c r="A98" s="43" t="s">
        <v>106</v>
      </c>
    </row>
    <row r="99" spans="1:1" ht="15.75" thickBot="1">
      <c r="A99" s="43" t="s">
        <v>107</v>
      </c>
    </row>
    <row r="100" spans="1:1" ht="15.75" thickBot="1">
      <c r="A100" s="43" t="s">
        <v>108</v>
      </c>
    </row>
    <row r="101" spans="1:1" ht="15.75" thickBot="1">
      <c r="A101" s="43" t="s">
        <v>109</v>
      </c>
    </row>
    <row r="102" spans="1:1" ht="15.75" thickBot="1">
      <c r="A102" s="43" t="s">
        <v>110</v>
      </c>
    </row>
    <row r="103" spans="1:1" ht="15.75" thickBot="1">
      <c r="A103" s="43" t="s">
        <v>111</v>
      </c>
    </row>
    <row r="104" spans="1:1" ht="15.75" thickBot="1">
      <c r="A104" s="43" t="s">
        <v>112</v>
      </c>
    </row>
    <row r="105" spans="1:1" ht="15.75" thickBot="1">
      <c r="A105" s="43" t="s">
        <v>113</v>
      </c>
    </row>
    <row r="106" spans="1:1" ht="15.75" thickBot="1">
      <c r="A106" s="43" t="s">
        <v>114</v>
      </c>
    </row>
    <row r="107" spans="1:1" ht="15.75" thickBot="1">
      <c r="A107" s="43" t="s">
        <v>115</v>
      </c>
    </row>
    <row r="108" spans="1:1" ht="15.75" thickBot="1">
      <c r="A108" s="43" t="s">
        <v>116</v>
      </c>
    </row>
    <row r="109" spans="1:1" ht="15.75" thickBot="1">
      <c r="A109" s="43" t="s">
        <v>117</v>
      </c>
    </row>
    <row r="110" spans="1:1" ht="15.75" thickBot="1">
      <c r="A110" s="43" t="s">
        <v>118</v>
      </c>
    </row>
    <row r="111" spans="1:1" ht="15.75" thickBot="1">
      <c r="A111" s="43" t="s">
        <v>119</v>
      </c>
    </row>
    <row r="112" spans="1:1" ht="15.75" thickBot="1">
      <c r="A112" s="43" t="s">
        <v>120</v>
      </c>
    </row>
    <row r="113" spans="1:1">
      <c r="A113" s="43" t="s">
        <v>121</v>
      </c>
    </row>
    <row r="114" spans="1:1">
      <c r="A114" s="42" t="s">
        <v>122</v>
      </c>
    </row>
    <row r="115" spans="1:1" ht="19.5" thickBot="1">
      <c r="A115" s="46" t="s">
        <v>123</v>
      </c>
    </row>
    <row r="116" spans="1:1" ht="15.75" thickBot="1">
      <c r="A116" s="45" t="s">
        <v>124</v>
      </c>
    </row>
    <row r="117" spans="1:1" ht="15.75" thickBot="1">
      <c r="A117" s="43" t="s">
        <v>125</v>
      </c>
    </row>
    <row r="118" spans="1:1" ht="15.75" thickBot="1">
      <c r="A118" s="43" t="s">
        <v>126</v>
      </c>
    </row>
    <row r="119" spans="1:1" ht="15.75" thickBot="1">
      <c r="A119" s="43" t="s">
        <v>127</v>
      </c>
    </row>
    <row r="120" spans="1:1" ht="15.75" thickBot="1">
      <c r="A120" s="43" t="s">
        <v>128</v>
      </c>
    </row>
    <row r="121" spans="1:1" ht="15.75" thickBot="1">
      <c r="A121" s="43" t="s">
        <v>129</v>
      </c>
    </row>
    <row r="122" spans="1:1" ht="15.75" thickBot="1">
      <c r="A122" s="43" t="s">
        <v>130</v>
      </c>
    </row>
    <row r="123" spans="1:1" ht="15.75" thickBot="1">
      <c r="A123" s="43" t="s">
        <v>131</v>
      </c>
    </row>
    <row r="124" spans="1:1" ht="15.75" thickBot="1">
      <c r="A124" s="43" t="s">
        <v>132</v>
      </c>
    </row>
    <row r="125" spans="1:1" ht="15.75" thickBot="1">
      <c r="A125" s="43" t="s">
        <v>133</v>
      </c>
    </row>
    <row r="126" spans="1:1" ht="15.75" thickBot="1">
      <c r="A126" s="43" t="s">
        <v>134</v>
      </c>
    </row>
    <row r="127" spans="1:1" ht="15.75" thickBot="1">
      <c r="A127" s="43" t="s">
        <v>135</v>
      </c>
    </row>
    <row r="128" spans="1:1" ht="15.75" thickBot="1">
      <c r="A128" s="43" t="s">
        <v>136</v>
      </c>
    </row>
    <row r="129" spans="1:1">
      <c r="A129" s="43" t="s">
        <v>137</v>
      </c>
    </row>
    <row r="130" spans="1:1">
      <c r="A130" s="42" t="s">
        <v>138</v>
      </c>
    </row>
    <row r="131" spans="1:1" ht="19.5" thickBot="1">
      <c r="A131" s="46" t="s">
        <v>139</v>
      </c>
    </row>
    <row r="132" spans="1:1" ht="15.75" thickBot="1">
      <c r="A132" s="45" t="s">
        <v>140</v>
      </c>
    </row>
    <row r="133" spans="1:1" ht="15.75" thickBot="1">
      <c r="A133" s="43" t="s">
        <v>141</v>
      </c>
    </row>
    <row r="134" spans="1:1" ht="15.75" thickBot="1">
      <c r="A134" s="43" t="s">
        <v>142</v>
      </c>
    </row>
    <row r="135" spans="1:1" ht="15.75" thickBot="1">
      <c r="A135" s="43" t="s">
        <v>143</v>
      </c>
    </row>
    <row r="136" spans="1:1" ht="15.75" thickBot="1">
      <c r="A136" s="43" t="s">
        <v>144</v>
      </c>
    </row>
    <row r="137" spans="1:1" ht="15.75" thickBot="1">
      <c r="A137" s="43" t="s">
        <v>145</v>
      </c>
    </row>
    <row r="138" spans="1:1" ht="15.75" thickBot="1">
      <c r="A138" s="43" t="s">
        <v>146</v>
      </c>
    </row>
    <row r="139" spans="1:1" ht="15.75" thickBot="1">
      <c r="A139" s="43" t="s">
        <v>147</v>
      </c>
    </row>
    <row r="140" spans="1:1" ht="15.75" thickBot="1">
      <c r="A140" s="43" t="s">
        <v>148</v>
      </c>
    </row>
    <row r="141" spans="1:1" ht="15.75" thickBot="1">
      <c r="A141" s="43" t="s">
        <v>149</v>
      </c>
    </row>
    <row r="142" spans="1:1" ht="15.75" thickBot="1">
      <c r="A142" s="43" t="s">
        <v>150</v>
      </c>
    </row>
    <row r="143" spans="1:1" ht="15.75" thickBot="1">
      <c r="A143" s="43" t="s">
        <v>151</v>
      </c>
    </row>
    <row r="144" spans="1:1" ht="15.75" thickBot="1">
      <c r="A144" s="43" t="s">
        <v>152</v>
      </c>
    </row>
    <row r="145" spans="1:1" ht="15.75" thickBot="1">
      <c r="A145" s="43" t="s">
        <v>153</v>
      </c>
    </row>
    <row r="146" spans="1:1" ht="15.75" thickBot="1">
      <c r="A146" s="43" t="s">
        <v>154</v>
      </c>
    </row>
    <row r="147" spans="1:1" ht="15.75" thickBot="1">
      <c r="A147" s="43" t="s">
        <v>155</v>
      </c>
    </row>
    <row r="148" spans="1:1">
      <c r="A148" s="43" t="s">
        <v>156</v>
      </c>
    </row>
    <row r="149" spans="1:1">
      <c r="A149" s="42" t="s">
        <v>157</v>
      </c>
    </row>
    <row r="150" spans="1:1" ht="19.5" thickBot="1">
      <c r="A150" s="46" t="s">
        <v>158</v>
      </c>
    </row>
    <row r="151" spans="1:1" ht="15.75" thickBot="1">
      <c r="A151" s="45" t="s">
        <v>159</v>
      </c>
    </row>
    <row r="152" spans="1:1" ht="15.75" thickBot="1">
      <c r="A152" s="43" t="s">
        <v>160</v>
      </c>
    </row>
    <row r="153" spans="1:1">
      <c r="A153" s="43" t="s">
        <v>161</v>
      </c>
    </row>
    <row r="154" spans="1:1" ht="15.75" thickBot="1">
      <c r="A154" s="44" t="s">
        <v>162</v>
      </c>
    </row>
    <row r="155" spans="1:1">
      <c r="A155" s="43" t="s">
        <v>163</v>
      </c>
    </row>
    <row r="156" spans="1:1" ht="15.75" thickBot="1">
      <c r="A156" s="44" t="s">
        <v>164</v>
      </c>
    </row>
    <row r="157" spans="1:1">
      <c r="A157" s="43" t="s">
        <v>165</v>
      </c>
    </row>
    <row r="158" spans="1:1" ht="15.75" thickBot="1">
      <c r="A158" s="44" t="s">
        <v>166</v>
      </c>
    </row>
    <row r="159" spans="1:1" ht="15.75" thickBot="1">
      <c r="A159" s="43" t="s">
        <v>167</v>
      </c>
    </row>
    <row r="160" spans="1:1" ht="15.75" thickBot="1">
      <c r="A160" s="43" t="s">
        <v>168</v>
      </c>
    </row>
    <row r="161" spans="1:1">
      <c r="A161" s="43" t="s">
        <v>169</v>
      </c>
    </row>
    <row r="162" spans="1:1" ht="15.75" thickBot="1">
      <c r="A162" s="44" t="s">
        <v>170</v>
      </c>
    </row>
    <row r="163" spans="1:1" ht="15.75" thickBot="1">
      <c r="A163" s="43" t="s">
        <v>171</v>
      </c>
    </row>
    <row r="164" spans="1:1" ht="15.75" thickBot="1">
      <c r="A164" s="43" t="s">
        <v>172</v>
      </c>
    </row>
    <row r="165" spans="1:1" ht="15.75" thickBot="1">
      <c r="A165" s="43" t="s">
        <v>173</v>
      </c>
    </row>
    <row r="166" spans="1:1" ht="15.75" thickBot="1">
      <c r="A166" s="43" t="s">
        <v>174</v>
      </c>
    </row>
    <row r="167" spans="1:1" ht="15.75" thickBot="1">
      <c r="A167" s="43" t="s">
        <v>175</v>
      </c>
    </row>
    <row r="168" spans="1:1" ht="15.75" thickBot="1">
      <c r="A168" s="43" t="s">
        <v>176</v>
      </c>
    </row>
    <row r="169" spans="1:1" ht="15.75" thickBot="1">
      <c r="A169" s="43" t="s">
        <v>177</v>
      </c>
    </row>
    <row r="170" spans="1:1" ht="15.75" thickBot="1">
      <c r="A170" s="43" t="s">
        <v>178</v>
      </c>
    </row>
    <row r="171" spans="1:1" ht="15.75" thickBot="1">
      <c r="A171" s="43" t="s">
        <v>179</v>
      </c>
    </row>
    <row r="172" spans="1:1" ht="15.75" thickBot="1">
      <c r="A172" s="43" t="s">
        <v>180</v>
      </c>
    </row>
    <row r="173" spans="1:1" ht="15.75" thickBot="1">
      <c r="A173" s="43" t="s">
        <v>181</v>
      </c>
    </row>
    <row r="174" spans="1:1" ht="15.75" thickBot="1">
      <c r="A174" s="43" t="s">
        <v>182</v>
      </c>
    </row>
    <row r="175" spans="1:1" ht="15.75" thickBot="1">
      <c r="A175" s="43" t="s">
        <v>183</v>
      </c>
    </row>
    <row r="176" spans="1:1" ht="15.75" thickBot="1">
      <c r="A176" s="43" t="s">
        <v>184</v>
      </c>
    </row>
    <row r="177" spans="1:1" ht="15.75" thickBot="1">
      <c r="A177" s="43" t="s">
        <v>185</v>
      </c>
    </row>
    <row r="178" spans="1:1" ht="15.75" thickBot="1">
      <c r="A178" s="43" t="s">
        <v>186</v>
      </c>
    </row>
    <row r="179" spans="1:1" ht="15.75" thickBot="1">
      <c r="A179" s="43" t="s">
        <v>187</v>
      </c>
    </row>
    <row r="180" spans="1:1" ht="15.75" thickBot="1">
      <c r="A180" s="43" t="s">
        <v>188</v>
      </c>
    </row>
    <row r="181" spans="1:1" ht="15.75" thickBot="1">
      <c r="A181" s="43" t="s">
        <v>189</v>
      </c>
    </row>
    <row r="182" spans="1:1">
      <c r="A182" s="43" t="s">
        <v>190</v>
      </c>
    </row>
    <row r="183" spans="1:1" ht="15.75" thickBot="1">
      <c r="A183" s="44" t="s">
        <v>191</v>
      </c>
    </row>
    <row r="184" spans="1:1" ht="15.75" thickBot="1">
      <c r="A184" s="43" t="s">
        <v>192</v>
      </c>
    </row>
    <row r="185" spans="1:1" ht="15.75" thickBot="1">
      <c r="A185" s="43" t="s">
        <v>193</v>
      </c>
    </row>
    <row r="186" spans="1:1" ht="15.75" thickBot="1">
      <c r="A186" s="43" t="s">
        <v>194</v>
      </c>
    </row>
    <row r="187" spans="1:1">
      <c r="A187" s="43" t="s">
        <v>195</v>
      </c>
    </row>
    <row r="188" spans="1:1" ht="15.75" thickBot="1">
      <c r="A188" s="44" t="s">
        <v>196</v>
      </c>
    </row>
    <row r="189" spans="1:1" ht="15.75" thickBot="1">
      <c r="A189" s="43" t="s">
        <v>197</v>
      </c>
    </row>
    <row r="190" spans="1:1" ht="15.75" thickBot="1">
      <c r="A190" s="43" t="s">
        <v>198</v>
      </c>
    </row>
    <row r="191" spans="1:1" ht="15.75" thickBot="1">
      <c r="A191" s="43" t="s">
        <v>199</v>
      </c>
    </row>
    <row r="192" spans="1:1" ht="15.75" thickBot="1">
      <c r="A192" s="43" t="s">
        <v>200</v>
      </c>
    </row>
    <row r="193" spans="1:1" ht="15.75" thickBot="1">
      <c r="A193" s="43" t="s">
        <v>201</v>
      </c>
    </row>
    <row r="194" spans="1:1">
      <c r="A194" s="43" t="s">
        <v>202</v>
      </c>
    </row>
    <row r="195" spans="1:1">
      <c r="A195" s="42" t="s">
        <v>203</v>
      </c>
    </row>
    <row r="196" spans="1:1" ht="19.5" thickBot="1">
      <c r="A196" s="46" t="s">
        <v>204</v>
      </c>
    </row>
    <row r="197" spans="1:1" ht="15.75" thickBot="1">
      <c r="A197" s="45" t="s">
        <v>205</v>
      </c>
    </row>
    <row r="198" spans="1:1" ht="15.75" thickBot="1">
      <c r="A198" s="43" t="s">
        <v>206</v>
      </c>
    </row>
    <row r="199" spans="1:1" ht="15.75" thickBot="1">
      <c r="A199" s="43" t="s">
        <v>207</v>
      </c>
    </row>
    <row r="200" spans="1:1" ht="15.75" thickBot="1">
      <c r="A200" s="43" t="s">
        <v>208</v>
      </c>
    </row>
    <row r="201" spans="1:1" ht="15.75" thickBot="1">
      <c r="A201" s="43" t="s">
        <v>209</v>
      </c>
    </row>
    <row r="202" spans="1:1" ht="15.75" thickBot="1">
      <c r="A202" s="43" t="s">
        <v>210</v>
      </c>
    </row>
    <row r="203" spans="1:1" ht="15.75" thickBot="1">
      <c r="A203" s="43" t="s">
        <v>211</v>
      </c>
    </row>
    <row r="204" spans="1:1" ht="15.75" thickBot="1">
      <c r="A204" s="43" t="s">
        <v>212</v>
      </c>
    </row>
    <row r="205" spans="1:1" ht="15.75" thickBot="1">
      <c r="A205" s="43" t="s">
        <v>213</v>
      </c>
    </row>
    <row r="206" spans="1:1" ht="15.75" thickBot="1">
      <c r="A206" s="43" t="s">
        <v>214</v>
      </c>
    </row>
    <row r="207" spans="1:1" ht="15.75" thickBot="1">
      <c r="A207" s="43" t="s">
        <v>215</v>
      </c>
    </row>
    <row r="208" spans="1:1" ht="15.75" thickBot="1">
      <c r="A208" s="43" t="s">
        <v>216</v>
      </c>
    </row>
    <row r="209" spans="1:1" ht="15.75" thickBot="1">
      <c r="A209" s="43" t="s">
        <v>217</v>
      </c>
    </row>
    <row r="210" spans="1:1" ht="15.75" thickBot="1">
      <c r="A210" s="43" t="s">
        <v>218</v>
      </c>
    </row>
    <row r="211" spans="1:1" ht="15.75" thickBot="1">
      <c r="A211" s="43" t="s">
        <v>219</v>
      </c>
    </row>
    <row r="212" spans="1:1" ht="15.75" thickBot="1">
      <c r="A212" s="43" t="s">
        <v>220</v>
      </c>
    </row>
    <row r="213" spans="1:1">
      <c r="A213" s="43" t="s">
        <v>221</v>
      </c>
    </row>
    <row r="214" spans="1:1">
      <c r="A214" s="42" t="s">
        <v>222</v>
      </c>
    </row>
    <row r="215" spans="1:1" ht="19.5" thickBot="1">
      <c r="A215" s="46" t="s">
        <v>223</v>
      </c>
    </row>
    <row r="216" spans="1:1" ht="15.75" thickBot="1">
      <c r="A216" s="43" t="s">
        <v>224</v>
      </c>
    </row>
    <row r="217" spans="1:1" ht="15.75" thickBot="1">
      <c r="A217" s="43" t="s">
        <v>225</v>
      </c>
    </row>
    <row r="218" spans="1:1" ht="15.75" thickBot="1">
      <c r="A218" s="43" t="s">
        <v>226</v>
      </c>
    </row>
    <row r="219" spans="1:1">
      <c r="A219" s="1" t="s">
        <v>227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Unity Course Video Listing</vt:lpstr>
      <vt:lpstr>Orig Data</vt:lpstr>
      <vt:lpstr>'Unity Course Video Listing'!Print_Titles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cp:lastPrinted>2016-11-18T20:27:49Z</cp:lastPrinted>
  <dcterms:created xsi:type="dcterms:W3CDTF">2016-11-18T06:27:59Z</dcterms:created>
  <dcterms:modified xsi:type="dcterms:W3CDTF">2017-02-22T23:51:57Z</dcterms:modified>
</cp:coreProperties>
</file>